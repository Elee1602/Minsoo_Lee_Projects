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l\Desktop\excel!\E\"/>
    </mc:Choice>
  </mc:AlternateContent>
  <xr:revisionPtr revIDLastSave="0" documentId="13_ncr:1_{22EC0CDE-39BF-42A3-AA12-94D13BE5A6BC}" xr6:coauthVersionLast="47" xr6:coauthVersionMax="47" xr10:uidLastSave="{00000000-0000-0000-0000-000000000000}"/>
  <bookViews>
    <workbookView showSheetTabs="0" xWindow="-120" yWindow="-120" windowWidth="29040" windowHeight="15720" xr2:uid="{00000000-000D-0000-FFFF-FFFF00000000}"/>
  </bookViews>
  <sheets>
    <sheet name="About" sheetId="6" r:id="rId1"/>
    <sheet name="Inputs" sheetId="10" r:id="rId2"/>
    <sheet name="Model" sheetId="1" r:id="rId3"/>
  </sheets>
  <definedNames>
    <definedName name="_xlnm.Print_Area" localSheetId="0">About!$A$1:$M$18</definedName>
    <definedName name="_xlnm.Print_Area" localSheetId="1">Inputs!$F$1:$H$13</definedName>
    <definedName name="_xlnm.Print_Area" localSheetId="2">Model!$B$1:$AY$39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9" i="1" l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J39" i="1" s="1"/>
  <c r="AK39" i="1" s="1"/>
  <c r="AL39" i="1" s="1"/>
  <c r="AM39" i="1" s="1"/>
  <c r="AN39" i="1" s="1"/>
  <c r="AO39" i="1" s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N38" i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AK38" i="1" s="1"/>
  <c r="AL38" i="1" s="1"/>
  <c r="AM38" i="1" s="1"/>
  <c r="AN38" i="1" s="1"/>
  <c r="AO38" i="1" s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L22" i="1"/>
  <c r="K22" i="1"/>
  <c r="J22" i="1"/>
  <c r="I22" i="1"/>
  <c r="H22" i="1"/>
  <c r="N37" i="1"/>
  <c r="O37" i="1" s="1"/>
  <c r="P37" i="1" s="1"/>
  <c r="N35" i="1"/>
  <c r="O35" i="1" s="1"/>
  <c r="P35" i="1" s="1"/>
  <c r="N34" i="1"/>
  <c r="L37" i="1"/>
  <c r="K37" i="1"/>
  <c r="I37" i="1"/>
  <c r="H37" i="1"/>
  <c r="L35" i="1"/>
  <c r="L34" i="1"/>
  <c r="K34" i="1"/>
  <c r="I34" i="1"/>
  <c r="O31" i="1"/>
  <c r="P31" i="1" s="1"/>
  <c r="Q31" i="1" s="1"/>
  <c r="R31" i="1" s="1"/>
  <c r="S31" i="1" s="1"/>
  <c r="T31" i="1" s="1"/>
  <c r="U31" i="1" s="1"/>
  <c r="V31" i="1" s="1"/>
  <c r="W31" i="1" s="1"/>
  <c r="X31" i="1" s="1"/>
  <c r="Y31" i="1" s="1"/>
  <c r="Z31" i="1" s="1"/>
  <c r="AA31" i="1" s="1"/>
  <c r="AB31" i="1" s="1"/>
  <c r="AC31" i="1" s="1"/>
  <c r="AD31" i="1" s="1"/>
  <c r="AE31" i="1" s="1"/>
  <c r="AF31" i="1" s="1"/>
  <c r="AG31" i="1" s="1"/>
  <c r="AH31" i="1" s="1"/>
  <c r="AI31" i="1" s="1"/>
  <c r="AJ31" i="1" s="1"/>
  <c r="AK31" i="1" s="1"/>
  <c r="AL31" i="1" s="1"/>
  <c r="AM31" i="1" s="1"/>
  <c r="AN31" i="1" s="1"/>
  <c r="AO31" i="1" s="1"/>
  <c r="AP31" i="1" s="1"/>
  <c r="AQ31" i="1" s="1"/>
  <c r="AR31" i="1" s="1"/>
  <c r="AS31" i="1" s="1"/>
  <c r="AT31" i="1" s="1"/>
  <c r="AU31" i="1" s="1"/>
  <c r="AV31" i="1" s="1"/>
  <c r="AW31" i="1" s="1"/>
  <c r="AX31" i="1" s="1"/>
  <c r="AY31" i="1" s="1"/>
  <c r="M6" i="1"/>
  <c r="M8" i="1" s="1"/>
  <c r="J37" i="1"/>
  <c r="H36" i="1"/>
  <c r="K35" i="1"/>
  <c r="J35" i="1"/>
  <c r="I35" i="1"/>
  <c r="H35" i="1"/>
  <c r="J34" i="1"/>
  <c r="H34" i="1"/>
  <c r="L33" i="1"/>
  <c r="K33" i="1"/>
  <c r="I33" i="1"/>
  <c r="J32" i="1"/>
  <c r="L31" i="1"/>
  <c r="K31" i="1"/>
  <c r="J31" i="1"/>
  <c r="I31" i="1"/>
  <c r="L15" i="1"/>
  <c r="M15" i="1" s="1"/>
  <c r="N15" i="1" s="1"/>
  <c r="O15" i="1" s="1"/>
  <c r="P15" i="1" s="1"/>
  <c r="Q15" i="1" s="1"/>
  <c r="R15" i="1" s="1"/>
  <c r="S15" i="1" s="1"/>
  <c r="T15" i="1" s="1"/>
  <c r="U15" i="1" s="1"/>
  <c r="V15" i="1" s="1"/>
  <c r="W15" i="1" s="1"/>
  <c r="X15" i="1" s="1"/>
  <c r="Y15" i="1" s="1"/>
  <c r="Z15" i="1" s="1"/>
  <c r="AA15" i="1" s="1"/>
  <c r="AB15" i="1" s="1"/>
  <c r="AC15" i="1" s="1"/>
  <c r="AD15" i="1" s="1"/>
  <c r="AE15" i="1" s="1"/>
  <c r="AF15" i="1" s="1"/>
  <c r="AG15" i="1" s="1"/>
  <c r="AH15" i="1" s="1"/>
  <c r="AI15" i="1" s="1"/>
  <c r="AJ15" i="1" s="1"/>
  <c r="AK15" i="1" s="1"/>
  <c r="AL15" i="1" s="1"/>
  <c r="AM15" i="1" s="1"/>
  <c r="AN15" i="1" s="1"/>
  <c r="AO15" i="1" s="1"/>
  <c r="AP15" i="1" s="1"/>
  <c r="AQ15" i="1" s="1"/>
  <c r="AR15" i="1" s="1"/>
  <c r="AS15" i="1" s="1"/>
  <c r="AT15" i="1" s="1"/>
  <c r="AU15" i="1" s="1"/>
  <c r="AV15" i="1" s="1"/>
  <c r="AW15" i="1" s="1"/>
  <c r="AX15" i="1" s="1"/>
  <c r="AY15" i="1" s="1"/>
  <c r="K15" i="1"/>
  <c r="K36" i="1" s="1"/>
  <c r="J15" i="1"/>
  <c r="J36" i="1" s="1"/>
  <c r="I15" i="1"/>
  <c r="I36" i="1" s="1"/>
  <c r="H15" i="1"/>
  <c r="L12" i="1"/>
  <c r="M12" i="1" s="1"/>
  <c r="N12" i="1" s="1"/>
  <c r="O12" i="1" s="1"/>
  <c r="P12" i="1" s="1"/>
  <c r="Q12" i="1" s="1"/>
  <c r="K12" i="1"/>
  <c r="J12" i="1"/>
  <c r="J33" i="1" s="1"/>
  <c r="I12" i="1"/>
  <c r="H12" i="1"/>
  <c r="H33" i="1" s="1"/>
  <c r="L11" i="1"/>
  <c r="M11" i="1" s="1"/>
  <c r="K11" i="1"/>
  <c r="K32" i="1" s="1"/>
  <c r="J11" i="1"/>
  <c r="I11" i="1"/>
  <c r="I32" i="1" s="1"/>
  <c r="H11" i="1"/>
  <c r="H32" i="1" s="1"/>
  <c r="L8" i="1"/>
  <c r="K8" i="1"/>
  <c r="J8" i="1"/>
  <c r="I8" i="1"/>
  <c r="H8" i="1"/>
  <c r="I1" i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N6" i="1" l="1"/>
  <c r="N16" i="1" s="1"/>
  <c r="M14" i="1"/>
  <c r="J18" i="1"/>
  <c r="J20" i="1" s="1"/>
  <c r="J38" i="1" s="1"/>
  <c r="M22" i="1"/>
  <c r="N11" i="1"/>
  <c r="Q35" i="1"/>
  <c r="R35" i="1" s="1"/>
  <c r="L32" i="1"/>
  <c r="L36" i="1"/>
  <c r="M16" i="1"/>
  <c r="M13" i="1"/>
  <c r="O34" i="1"/>
  <c r="P34" i="1" s="1"/>
  <c r="Q37" i="1"/>
  <c r="I18" i="1"/>
  <c r="I20" i="1" s="1"/>
  <c r="I38" i="1" s="1"/>
  <c r="K18" i="1"/>
  <c r="K20" i="1" s="1"/>
  <c r="L18" i="1"/>
  <c r="L20" i="1" s="1"/>
  <c r="J24" i="1"/>
  <c r="H18" i="1"/>
  <c r="H20" i="1" s="1"/>
  <c r="H38" i="1" s="1"/>
  <c r="L3" i="1"/>
  <c r="K3" i="1" s="1"/>
  <c r="J3" i="1" s="1"/>
  <c r="I3" i="1" s="1"/>
  <c r="H3" i="1" s="1"/>
  <c r="N3" i="1"/>
  <c r="O3" i="1" s="1"/>
  <c r="P3" i="1" s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N8" i="1" l="1"/>
  <c r="N14" i="1"/>
  <c r="N13" i="1"/>
  <c r="O6" i="1"/>
  <c r="O22" i="1" s="1"/>
  <c r="M18" i="1"/>
  <c r="M20" i="1" s="1"/>
  <c r="M24" i="1" s="1"/>
  <c r="N22" i="1"/>
  <c r="O11" i="1"/>
  <c r="R37" i="1"/>
  <c r="Q34" i="1"/>
  <c r="S35" i="1"/>
  <c r="K24" i="1"/>
  <c r="K38" i="1"/>
  <c r="I24" i="1"/>
  <c r="AO3" i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P6" i="1" l="1"/>
  <c r="P22" i="1" s="1"/>
  <c r="N18" i="1"/>
  <c r="N20" i="1" s="1"/>
  <c r="N24" i="1" s="1"/>
  <c r="O13" i="1"/>
  <c r="O14" i="1"/>
  <c r="O16" i="1"/>
  <c r="O8" i="1"/>
  <c r="P11" i="1"/>
  <c r="R34" i="1"/>
  <c r="T35" i="1"/>
  <c r="S37" i="1"/>
  <c r="H24" i="1"/>
  <c r="H26" i="1" s="1"/>
  <c r="I26" i="1" s="1"/>
  <c r="J26" i="1" s="1"/>
  <c r="K26" i="1" s="1"/>
  <c r="L24" i="1"/>
  <c r="L38" i="1"/>
  <c r="P8" i="1" l="1"/>
  <c r="P14" i="1"/>
  <c r="P16" i="1"/>
  <c r="Q6" i="1"/>
  <c r="Q16" i="1" s="1"/>
  <c r="P13" i="1"/>
  <c r="O18" i="1"/>
  <c r="O20" i="1" s="1"/>
  <c r="O24" i="1" s="1"/>
  <c r="Q8" i="1"/>
  <c r="R6" i="1"/>
  <c r="R16" i="1" s="1"/>
  <c r="Q11" i="1"/>
  <c r="S34" i="1"/>
  <c r="T37" i="1"/>
  <c r="U35" i="1"/>
  <c r="L26" i="1"/>
  <c r="M26" i="1" s="1"/>
  <c r="N26" i="1" s="1"/>
  <c r="P18" i="1" l="1"/>
  <c r="P20" i="1" s="1"/>
  <c r="P24" i="1" s="1"/>
  <c r="Q13" i="1"/>
  <c r="Q22" i="1"/>
  <c r="R8" i="1"/>
  <c r="Q14" i="1"/>
  <c r="S6" i="1"/>
  <c r="S16" i="1" s="1"/>
  <c r="O26" i="1"/>
  <c r="R22" i="1"/>
  <c r="R13" i="1"/>
  <c r="R14" i="1"/>
  <c r="R11" i="1"/>
  <c r="T34" i="1"/>
  <c r="V35" i="1"/>
  <c r="U37" i="1"/>
  <c r="P26" i="1" l="1"/>
  <c r="Q18" i="1"/>
  <c r="Q20" i="1" s="1"/>
  <c r="Q24" i="1" s="1"/>
  <c r="S13" i="1"/>
  <c r="S14" i="1"/>
  <c r="T6" i="1"/>
  <c r="T16" i="1" s="1"/>
  <c r="S22" i="1"/>
  <c r="S8" i="1"/>
  <c r="T22" i="1"/>
  <c r="S11" i="1"/>
  <c r="R18" i="1"/>
  <c r="R20" i="1" s="1"/>
  <c r="R24" i="1" s="1"/>
  <c r="V37" i="1"/>
  <c r="W35" i="1"/>
  <c r="U34" i="1"/>
  <c r="U6" i="1"/>
  <c r="U16" i="1" s="1"/>
  <c r="T8" i="1" l="1"/>
  <c r="T13" i="1"/>
  <c r="Q26" i="1"/>
  <c r="R26" i="1" s="1"/>
  <c r="T14" i="1"/>
  <c r="U22" i="1"/>
  <c r="U14" i="1"/>
  <c r="T11" i="1"/>
  <c r="S18" i="1"/>
  <c r="S20" i="1" s="1"/>
  <c r="S24" i="1" s="1"/>
  <c r="U13" i="1"/>
  <c r="V34" i="1"/>
  <c r="W37" i="1"/>
  <c r="X35" i="1"/>
  <c r="V6" i="1"/>
  <c r="V16" i="1" s="1"/>
  <c r="U8" i="1"/>
  <c r="S26" i="1" l="1"/>
  <c r="U11" i="1"/>
  <c r="T18" i="1"/>
  <c r="T20" i="1" s="1"/>
  <c r="T24" i="1" s="1"/>
  <c r="V22" i="1"/>
  <c r="V14" i="1"/>
  <c r="Y35" i="1"/>
  <c r="X37" i="1"/>
  <c r="W34" i="1"/>
  <c r="V13" i="1"/>
  <c r="V8" i="1"/>
  <c r="W6" i="1"/>
  <c r="T26" i="1" l="1"/>
  <c r="W22" i="1"/>
  <c r="W14" i="1"/>
  <c r="W16" i="1"/>
  <c r="V11" i="1"/>
  <c r="U18" i="1"/>
  <c r="U20" i="1" s="1"/>
  <c r="U24" i="1" s="1"/>
  <c r="W13" i="1"/>
  <c r="X34" i="1"/>
  <c r="Y37" i="1"/>
  <c r="Z35" i="1"/>
  <c r="W8" i="1"/>
  <c r="X6" i="1"/>
  <c r="X16" i="1" s="1"/>
  <c r="U26" i="1" l="1"/>
  <c r="X22" i="1"/>
  <c r="X14" i="1"/>
  <c r="W11" i="1"/>
  <c r="V18" i="1"/>
  <c r="V20" i="1" s="1"/>
  <c r="V24" i="1" s="1"/>
  <c r="AA35" i="1"/>
  <c r="Z37" i="1"/>
  <c r="X13" i="1"/>
  <c r="Y34" i="1"/>
  <c r="Y6" i="1"/>
  <c r="X8" i="1"/>
  <c r="V26" i="1" l="1"/>
  <c r="Y22" i="1"/>
  <c r="Y14" i="1"/>
  <c r="X11" i="1"/>
  <c r="W18" i="1"/>
  <c r="W20" i="1" s="1"/>
  <c r="W24" i="1" s="1"/>
  <c r="Y16" i="1"/>
  <c r="AB35" i="1"/>
  <c r="Y13" i="1"/>
  <c r="Z34" i="1"/>
  <c r="AA37" i="1"/>
  <c r="Z6" i="1"/>
  <c r="Y8" i="1"/>
  <c r="W26" i="1" l="1"/>
  <c r="Z22" i="1"/>
  <c r="Z14" i="1"/>
  <c r="Z16" i="1"/>
  <c r="Y11" i="1"/>
  <c r="X18" i="1"/>
  <c r="X20" i="1" s="1"/>
  <c r="X24" i="1" s="1"/>
  <c r="AB37" i="1"/>
  <c r="AA34" i="1"/>
  <c r="Z13" i="1"/>
  <c r="AC35" i="1"/>
  <c r="AA6" i="1"/>
  <c r="Z8" i="1"/>
  <c r="X26" i="1" l="1"/>
  <c r="AA22" i="1"/>
  <c r="AA14" i="1"/>
  <c r="Z11" i="1"/>
  <c r="Y18" i="1"/>
  <c r="Y20" i="1" s="1"/>
  <c r="Y24" i="1" s="1"/>
  <c r="AA16" i="1"/>
  <c r="AB34" i="1"/>
  <c r="AA13" i="1"/>
  <c r="AD35" i="1"/>
  <c r="AC37" i="1"/>
  <c r="AA8" i="1"/>
  <c r="AB6" i="1"/>
  <c r="Y26" i="1" l="1"/>
  <c r="AB22" i="1"/>
  <c r="AB14" i="1"/>
  <c r="AB16" i="1"/>
  <c r="AA11" i="1"/>
  <c r="Z18" i="1"/>
  <c r="Z20" i="1" s="1"/>
  <c r="Z24" i="1" s="1"/>
  <c r="AD37" i="1"/>
  <c r="AE35" i="1"/>
  <c r="AC34" i="1"/>
  <c r="AB13" i="1"/>
  <c r="AB8" i="1"/>
  <c r="AC6" i="1"/>
  <c r="AC16" i="1" s="1"/>
  <c r="Z26" i="1" l="1"/>
  <c r="AC22" i="1"/>
  <c r="AC14" i="1"/>
  <c r="AB11" i="1"/>
  <c r="AA18" i="1"/>
  <c r="AA20" i="1" s="1"/>
  <c r="AA24" i="1" s="1"/>
  <c r="AF35" i="1"/>
  <c r="AC13" i="1"/>
  <c r="AD34" i="1"/>
  <c r="AE37" i="1"/>
  <c r="AD6" i="1"/>
  <c r="AC8" i="1"/>
  <c r="AA26" i="1" l="1"/>
  <c r="AD22" i="1"/>
  <c r="AD14" i="1"/>
  <c r="AB18" i="1"/>
  <c r="AB20" i="1" s="1"/>
  <c r="AB24" i="1" s="1"/>
  <c r="AC11" i="1"/>
  <c r="AD16" i="1"/>
  <c r="AF37" i="1"/>
  <c r="AG35" i="1"/>
  <c r="AD13" i="1"/>
  <c r="AE34" i="1"/>
  <c r="AD8" i="1"/>
  <c r="AE6" i="1"/>
  <c r="AE16" i="1" s="1"/>
  <c r="AB26" i="1" l="1"/>
  <c r="AD11" i="1"/>
  <c r="AC18" i="1"/>
  <c r="AC20" i="1" s="1"/>
  <c r="AC24" i="1" s="1"/>
  <c r="AE22" i="1"/>
  <c r="AE14" i="1"/>
  <c r="AE13" i="1"/>
  <c r="AF34" i="1"/>
  <c r="AH35" i="1"/>
  <c r="AG37" i="1"/>
  <c r="AF6" i="1"/>
  <c r="AE8" i="1"/>
  <c r="AC26" i="1" l="1"/>
  <c r="AF22" i="1"/>
  <c r="AF14" i="1"/>
  <c r="AE11" i="1"/>
  <c r="AD18" i="1"/>
  <c r="AD20" i="1" s="1"/>
  <c r="AD24" i="1" s="1"/>
  <c r="AF16" i="1"/>
  <c r="AH37" i="1"/>
  <c r="AI35" i="1"/>
  <c r="AF13" i="1"/>
  <c r="AG34" i="1"/>
  <c r="AG6" i="1"/>
  <c r="AF8" i="1"/>
  <c r="AD26" i="1" l="1"/>
  <c r="AG22" i="1"/>
  <c r="AG14" i="1"/>
  <c r="AF11" i="1"/>
  <c r="AE18" i="1"/>
  <c r="AE20" i="1" s="1"/>
  <c r="AE24" i="1" s="1"/>
  <c r="AG16" i="1"/>
  <c r="AH34" i="1"/>
  <c r="AG13" i="1"/>
  <c r="AI37" i="1"/>
  <c r="AJ35" i="1"/>
  <c r="AH6" i="1"/>
  <c r="AH16" i="1" s="1"/>
  <c r="AG8" i="1"/>
  <c r="AE26" i="1" l="1"/>
  <c r="AH22" i="1"/>
  <c r="AH14" i="1"/>
  <c r="AG11" i="1"/>
  <c r="AF18" i="1"/>
  <c r="AF20" i="1" s="1"/>
  <c r="AF24" i="1" s="1"/>
  <c r="AI34" i="1"/>
  <c r="AH13" i="1"/>
  <c r="AK35" i="1"/>
  <c r="AJ37" i="1"/>
  <c r="AI6" i="1"/>
  <c r="AI16" i="1" s="1"/>
  <c r="AH8" i="1"/>
  <c r="AF26" i="1" l="1"/>
  <c r="AH11" i="1"/>
  <c r="AG18" i="1"/>
  <c r="AG20" i="1" s="1"/>
  <c r="AG24" i="1" s="1"/>
  <c r="AI22" i="1"/>
  <c r="AI14" i="1"/>
  <c r="AK37" i="1"/>
  <c r="AL35" i="1"/>
  <c r="AJ34" i="1"/>
  <c r="AI13" i="1"/>
  <c r="AI8" i="1"/>
  <c r="AJ6" i="1"/>
  <c r="AJ16" i="1" s="1"/>
  <c r="AG26" i="1" l="1"/>
  <c r="AJ22" i="1"/>
  <c r="AJ14" i="1"/>
  <c r="AI11" i="1"/>
  <c r="AH18" i="1"/>
  <c r="AH20" i="1" s="1"/>
  <c r="AH24" i="1" s="1"/>
  <c r="AK34" i="1"/>
  <c r="AJ13" i="1"/>
  <c r="AM35" i="1"/>
  <c r="AL37" i="1"/>
  <c r="AJ8" i="1"/>
  <c r="AK6" i="1"/>
  <c r="AH26" i="1" l="1"/>
  <c r="AK22" i="1"/>
  <c r="AK14" i="1"/>
  <c r="AJ11" i="1"/>
  <c r="AI18" i="1"/>
  <c r="AI20" i="1" s="1"/>
  <c r="AI24" i="1" s="1"/>
  <c r="AK16" i="1"/>
  <c r="AM37" i="1"/>
  <c r="AN35" i="1"/>
  <c r="AK13" i="1"/>
  <c r="AL34" i="1"/>
  <c r="AL6" i="1"/>
  <c r="AK8" i="1"/>
  <c r="AI26" i="1" l="1"/>
  <c r="AL22" i="1"/>
  <c r="AL14" i="1"/>
  <c r="AK11" i="1"/>
  <c r="AK18" i="1" s="1"/>
  <c r="AK20" i="1" s="1"/>
  <c r="AK24" i="1" s="1"/>
  <c r="AJ18" i="1"/>
  <c r="AJ20" i="1" s="1"/>
  <c r="AJ24" i="1" s="1"/>
  <c r="AL16" i="1"/>
  <c r="AL13" i="1"/>
  <c r="AM34" i="1"/>
  <c r="AO35" i="1"/>
  <c r="AN37" i="1"/>
  <c r="AM6" i="1"/>
  <c r="AM16" i="1" s="1"/>
  <c r="AL8" i="1"/>
  <c r="AJ26" i="1" l="1"/>
  <c r="AK26" i="1" s="1"/>
  <c r="AL18" i="1"/>
  <c r="AL20" i="1" s="1"/>
  <c r="AL24" i="1" s="1"/>
  <c r="AM22" i="1"/>
  <c r="AM14" i="1"/>
  <c r="AO37" i="1"/>
  <c r="AP35" i="1"/>
  <c r="AM13" i="1"/>
  <c r="AN34" i="1"/>
  <c r="AN6" i="1"/>
  <c r="AN16" i="1" s="1"/>
  <c r="AM8" i="1"/>
  <c r="AN22" i="1" l="1"/>
  <c r="AN14" i="1"/>
  <c r="AM18" i="1"/>
  <c r="AM20" i="1" s="1"/>
  <c r="AM24" i="1" s="1"/>
  <c r="AL26" i="1"/>
  <c r="AN13" i="1"/>
  <c r="AN18" i="1" s="1"/>
  <c r="AO34" i="1"/>
  <c r="AQ35" i="1"/>
  <c r="AP37" i="1"/>
  <c r="AO6" i="1"/>
  <c r="AN8" i="1"/>
  <c r="AN20" i="1" l="1"/>
  <c r="AN24" i="1" s="1"/>
  <c r="AO22" i="1"/>
  <c r="AO14" i="1"/>
  <c r="AO16" i="1"/>
  <c r="AM26" i="1"/>
  <c r="AQ37" i="1"/>
  <c r="AR35" i="1"/>
  <c r="AO13" i="1"/>
  <c r="AP34" i="1"/>
  <c r="AP6" i="1"/>
  <c r="AP16" i="1" s="1"/>
  <c r="AO8" i="1"/>
  <c r="AO18" i="1" l="1"/>
  <c r="AO20" i="1" s="1"/>
  <c r="AO24" i="1" s="1"/>
  <c r="AN26" i="1"/>
  <c r="AP22" i="1"/>
  <c r="AP14" i="1"/>
  <c r="AQ34" i="1"/>
  <c r="AP13" i="1"/>
  <c r="AS35" i="1"/>
  <c r="AR37" i="1"/>
  <c r="AQ6" i="1"/>
  <c r="AQ16" i="1" s="1"/>
  <c r="AP8" i="1"/>
  <c r="AP18" i="1" l="1"/>
  <c r="AP20" i="1" s="1"/>
  <c r="AP24" i="1" s="1"/>
  <c r="AO26" i="1"/>
  <c r="AQ22" i="1"/>
  <c r="AQ14" i="1"/>
  <c r="AT35" i="1"/>
  <c r="AS37" i="1"/>
  <c r="AQ13" i="1"/>
  <c r="AR34" i="1"/>
  <c r="AQ8" i="1"/>
  <c r="AR6" i="1"/>
  <c r="AR16" i="1" s="1"/>
  <c r="AP26" i="1" l="1"/>
  <c r="AR22" i="1"/>
  <c r="AR14" i="1"/>
  <c r="AQ18" i="1"/>
  <c r="AQ20" i="1" s="1"/>
  <c r="AQ24" i="1" s="1"/>
  <c r="AS34" i="1"/>
  <c r="AR13" i="1"/>
  <c r="AT37" i="1"/>
  <c r="AU35" i="1"/>
  <c r="AR8" i="1"/>
  <c r="AS6" i="1"/>
  <c r="AS16" i="1" s="1"/>
  <c r="AR18" i="1" l="1"/>
  <c r="AR20" i="1" s="1"/>
  <c r="AR24" i="1" s="1"/>
  <c r="AQ26" i="1"/>
  <c r="AS22" i="1"/>
  <c r="AS14" i="1"/>
  <c r="AV35" i="1"/>
  <c r="AU37" i="1"/>
  <c r="AS13" i="1"/>
  <c r="AT34" i="1"/>
  <c r="AT6" i="1"/>
  <c r="AS8" i="1"/>
  <c r="AR26" i="1" l="1"/>
  <c r="AT22" i="1"/>
  <c r="AT14" i="1"/>
  <c r="AS18" i="1"/>
  <c r="AS20" i="1" s="1"/>
  <c r="AS24" i="1" s="1"/>
  <c r="AT16" i="1"/>
  <c r="AT13" i="1"/>
  <c r="AU34" i="1"/>
  <c r="AV37" i="1"/>
  <c r="AW35" i="1"/>
  <c r="AU6" i="1"/>
  <c r="AT8" i="1"/>
  <c r="AS26" i="1" l="1"/>
  <c r="AT18" i="1"/>
  <c r="AT20" i="1" s="1"/>
  <c r="AT24" i="1" s="1"/>
  <c r="AU22" i="1"/>
  <c r="AU14" i="1"/>
  <c r="AU16" i="1"/>
  <c r="AX35" i="1"/>
  <c r="AW37" i="1"/>
  <c r="AU13" i="1"/>
  <c r="AV34" i="1"/>
  <c r="AU8" i="1"/>
  <c r="AV6" i="1"/>
  <c r="AT26" i="1" l="1"/>
  <c r="AU18" i="1"/>
  <c r="AU20" i="1" s="1"/>
  <c r="AU24" i="1" s="1"/>
  <c r="AV22" i="1"/>
  <c r="AV14" i="1"/>
  <c r="AV16" i="1"/>
  <c r="AV13" i="1"/>
  <c r="AW34" i="1"/>
  <c r="AX37" i="1"/>
  <c r="AY35" i="1"/>
  <c r="AW6" i="1"/>
  <c r="AV8" i="1"/>
  <c r="AU26" i="1" l="1"/>
  <c r="AV18" i="1"/>
  <c r="AV20" i="1" s="1"/>
  <c r="AV24" i="1" s="1"/>
  <c r="AW22" i="1"/>
  <c r="AW14" i="1"/>
  <c r="AW16" i="1"/>
  <c r="AY37" i="1"/>
  <c r="AW13" i="1"/>
  <c r="AX34" i="1"/>
  <c r="AX6" i="1"/>
  <c r="AW8" i="1"/>
  <c r="AV26" i="1" l="1"/>
  <c r="AX22" i="1"/>
  <c r="AX14" i="1"/>
  <c r="AW18" i="1"/>
  <c r="AW20" i="1" s="1"/>
  <c r="AW24" i="1" s="1"/>
  <c r="AX16" i="1"/>
  <c r="AY34" i="1"/>
  <c r="AX13" i="1"/>
  <c r="AY6" i="1"/>
  <c r="AX8" i="1"/>
  <c r="AW26" i="1" l="1"/>
  <c r="AY8" i="1"/>
  <c r="AY22" i="1"/>
  <c r="AY14" i="1"/>
  <c r="AY16" i="1"/>
  <c r="AX18" i="1"/>
  <c r="AX20" i="1" s="1"/>
  <c r="AX24" i="1" s="1"/>
  <c r="AY13" i="1"/>
  <c r="AY18" i="1" s="1"/>
  <c r="AX26" i="1" l="1"/>
  <c r="AY20" i="1"/>
  <c r="AY24" i="1" s="1"/>
  <c r="AY26" i="1" l="1"/>
</calcChain>
</file>

<file path=xl/sharedStrings.xml><?xml version="1.0" encoding="utf-8"?>
<sst xmlns="http://schemas.openxmlformats.org/spreadsheetml/2006/main" count="42" uniqueCount="35">
  <si>
    <t>Income Taxes</t>
  </si>
  <si>
    <t>Historical</t>
  </si>
  <si>
    <t>Projected</t>
  </si>
  <si>
    <t>Net Income</t>
  </si>
  <si>
    <t>Technical Skills Course</t>
  </si>
  <si>
    <t>Mortgage</t>
  </si>
  <si>
    <t>Other Expenses</t>
  </si>
  <si>
    <t>Revenue</t>
  </si>
  <si>
    <t>Total Revenue</t>
  </si>
  <si>
    <t>Expenses</t>
  </si>
  <si>
    <t>Total Expenses</t>
  </si>
  <si>
    <t>Pretax Operating Income</t>
  </si>
  <si>
    <t>Ratios &amp; Assumptions:</t>
  </si>
  <si>
    <t>Salary (Sarah)</t>
  </si>
  <si>
    <t>Student Loan Debt - Sarah</t>
  </si>
  <si>
    <t>Sarah's Age -&gt;</t>
  </si>
  <si>
    <t>Insurance</t>
  </si>
  <si>
    <t>Living Expenses</t>
  </si>
  <si>
    <t>Savings for Retirement</t>
  </si>
  <si>
    <t>Salary Growth</t>
  </si>
  <si>
    <t>Student Loan Debt as % of Annual Salary</t>
  </si>
  <si>
    <t>Mortgage as % of Annual Salary</t>
  </si>
  <si>
    <t>Insurance Costs as % of Annual Salary</t>
  </si>
  <si>
    <t>Living Expenses as a % of Annual Salary</t>
  </si>
  <si>
    <t>Savings for Retirement as a % of Annual Salary</t>
  </si>
  <si>
    <t>Other Expenses as a % of Annual Salary</t>
  </si>
  <si>
    <t>Interest of Savings Account</t>
  </si>
  <si>
    <t>Income Tax Rate as a % of Annual Salary</t>
  </si>
  <si>
    <t>Personal Savings Account</t>
  </si>
  <si>
    <t xml:space="preserve">Use Constant Yearly Dollar Amount </t>
  </si>
  <si>
    <t>Module: Excel VBA for Actuaries</t>
  </si>
  <si>
    <t>Project 2: Financial Modeling Single Person with VBA</t>
  </si>
  <si>
    <t>Personal Savings Account balance at Age 65</t>
  </si>
  <si>
    <t>User Inputs</t>
  </si>
  <si>
    <t>Annual Salary Growth (starting in 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</si>
</sst>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_);_(&quot;$&quot;* \(#,##0.0\);_(&quot;$&quot;* &quot;-&quot;??_);_(@_)"/>
    <numFmt numFmtId="165" formatCode="_(* #,##0.0_);_(* \(#,##0.0\);_(* &quot;-&quot;??_);_(@_)"/>
    <numFmt numFmtId="166" formatCode="0.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u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16"/>
      <color rgb="FF008000"/>
      <name val="Arial"/>
      <family val="2"/>
    </font>
    <font>
      <u/>
      <sz val="10"/>
      <color rgb="FF0000FF"/>
      <name val="Arial"/>
      <family val="2"/>
    </font>
    <font>
      <u/>
      <sz val="10"/>
      <name val="Arial"/>
      <family val="2"/>
    </font>
    <font>
      <b/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0" fontId="4" fillId="0" borderId="0" xfId="0" applyFont="1"/>
    <xf numFmtId="0" fontId="5" fillId="0" borderId="0" xfId="0" applyFont="1"/>
    <xf numFmtId="0" fontId="6" fillId="0" borderId="0" xfId="0" applyFont="1"/>
    <xf numFmtId="164" fontId="8" fillId="0" borderId="0" xfId="2" applyNumberFormat="1" applyFont="1"/>
    <xf numFmtId="164" fontId="3" fillId="0" borderId="0" xfId="2" applyNumberFormat="1" applyFont="1"/>
    <xf numFmtId="165" fontId="8" fillId="0" borderId="3" xfId="1" applyNumberFormat="1" applyFont="1" applyBorder="1"/>
    <xf numFmtId="165" fontId="8" fillId="0" borderId="0" xfId="1" applyNumberFormat="1" applyFont="1"/>
    <xf numFmtId="166" fontId="3" fillId="0" borderId="0" xfId="3" applyNumberFormat="1" applyFont="1"/>
    <xf numFmtId="165" fontId="7" fillId="0" borderId="0" xfId="1" applyNumberFormat="1" applyFont="1"/>
    <xf numFmtId="165" fontId="9" fillId="0" borderId="0" xfId="1" applyNumberFormat="1" applyFont="1"/>
    <xf numFmtId="0" fontId="10" fillId="0" borderId="0" xfId="0" applyFont="1"/>
    <xf numFmtId="0" fontId="12" fillId="0" borderId="0" xfId="4" applyFont="1"/>
    <xf numFmtId="0" fontId="3" fillId="3" borderId="1" xfId="0" applyFont="1" applyFill="1" applyBorder="1"/>
    <xf numFmtId="0" fontId="3" fillId="3" borderId="2" xfId="0" applyFont="1" applyFill="1" applyBorder="1" applyAlignment="1">
      <alignment horizontal="center"/>
    </xf>
    <xf numFmtId="0" fontId="3" fillId="2" borderId="2" xfId="0" applyFont="1" applyFill="1" applyBorder="1"/>
    <xf numFmtId="0" fontId="14" fillId="0" borderId="0" xfId="0" applyFont="1" applyAlignment="1">
      <alignment horizontal="center"/>
    </xf>
    <xf numFmtId="0" fontId="7" fillId="0" borderId="0" xfId="0" applyFont="1"/>
    <xf numFmtId="164" fontId="7" fillId="0" borderId="0" xfId="2" applyNumberFormat="1" applyFont="1"/>
    <xf numFmtId="165" fontId="7" fillId="0" borderId="3" xfId="1" applyNumberFormat="1" applyFont="1" applyBorder="1"/>
    <xf numFmtId="0" fontId="8" fillId="0" borderId="0" xfId="0" applyFont="1"/>
    <xf numFmtId="0" fontId="3" fillId="0" borderId="0" xfId="0" applyFont="1" applyAlignment="1">
      <alignment horizontal="right"/>
    </xf>
    <xf numFmtId="164" fontId="9" fillId="0" borderId="0" xfId="2" applyNumberFormat="1" applyFont="1"/>
    <xf numFmtId="0" fontId="3" fillId="4" borderId="0" xfId="0" applyFont="1" applyFill="1"/>
    <xf numFmtId="9" fontId="3" fillId="0" borderId="0" xfId="0" applyNumberFormat="1" applyFont="1"/>
    <xf numFmtId="166" fontId="3" fillId="0" borderId="0" xfId="0" applyNumberFormat="1" applyFont="1"/>
    <xf numFmtId="166" fontId="8" fillId="0" borderId="0" xfId="0" applyNumberFormat="1" applyFont="1"/>
    <xf numFmtId="166" fontId="7" fillId="0" borderId="0" xfId="0" applyNumberFormat="1" applyFont="1"/>
    <xf numFmtId="164" fontId="3" fillId="5" borderId="0" xfId="2" applyNumberFormat="1" applyFont="1" applyFill="1"/>
    <xf numFmtId="0" fontId="3" fillId="7" borderId="0" xfId="0" applyFont="1" applyFill="1"/>
    <xf numFmtId="0" fontId="0" fillId="7" borderId="0" xfId="0" applyFill="1"/>
    <xf numFmtId="166" fontId="8" fillId="7" borderId="0" xfId="0" applyNumberFormat="1" applyFont="1" applyFill="1"/>
    <xf numFmtId="7" fontId="0" fillId="6" borderId="4" xfId="2" applyNumberFormat="1" applyFont="1" applyFill="1" applyBorder="1"/>
    <xf numFmtId="0" fontId="3" fillId="3" borderId="2" xfId="0" applyFont="1" applyFill="1" applyBorder="1"/>
    <xf numFmtId="0" fontId="14" fillId="0" borderId="6" xfId="0" applyFont="1" applyBorder="1" applyAlignment="1">
      <alignment horizontal="center"/>
    </xf>
    <xf numFmtId="164" fontId="8" fillId="0" borderId="0" xfId="2" applyNumberFormat="1" applyFont="1" applyBorder="1"/>
    <xf numFmtId="165" fontId="7" fillId="0" borderId="0" xfId="1" applyNumberFormat="1" applyFont="1" applyBorder="1"/>
    <xf numFmtId="165" fontId="8" fillId="0" borderId="0" xfId="1" applyNumberFormat="1" applyFont="1" applyBorder="1"/>
    <xf numFmtId="165" fontId="9" fillId="0" borderId="0" xfId="1" applyNumberFormat="1" applyFont="1" applyBorder="1"/>
    <xf numFmtId="164" fontId="9" fillId="0" borderId="0" xfId="2" applyNumberFormat="1" applyFont="1" applyBorder="1"/>
    <xf numFmtId="164" fontId="7" fillId="0" borderId="0" xfId="2" applyNumberFormat="1" applyFont="1" applyBorder="1"/>
    <xf numFmtId="166" fontId="3" fillId="0" borderId="0" xfId="3" applyNumberFormat="1" applyFont="1" applyBorder="1"/>
    <xf numFmtId="0" fontId="3" fillId="0" borderId="5" xfId="0" applyFont="1" applyBorder="1"/>
    <xf numFmtId="0" fontId="3" fillId="2" borderId="1" xfId="0" applyFont="1" applyFill="1" applyBorder="1"/>
    <xf numFmtId="0" fontId="13" fillId="0" borderId="5" xfId="0" applyFont="1" applyBorder="1" applyAlignment="1">
      <alignment horizontal="center"/>
    </xf>
    <xf numFmtId="0" fontId="7" fillId="0" borderId="5" xfId="0" applyFont="1" applyBorder="1"/>
    <xf numFmtId="164" fontId="7" fillId="0" borderId="5" xfId="2" applyNumberFormat="1" applyFont="1" applyBorder="1"/>
    <xf numFmtId="165" fontId="7" fillId="0" borderId="7" xfId="1" applyNumberFormat="1" applyFont="1" applyBorder="1"/>
    <xf numFmtId="165" fontId="7" fillId="0" borderId="5" xfId="1" applyNumberFormat="1" applyFont="1" applyBorder="1"/>
    <xf numFmtId="165" fontId="9" fillId="0" borderId="5" xfId="1" applyNumberFormat="1" applyFont="1" applyBorder="1"/>
    <xf numFmtId="164" fontId="3" fillId="0" borderId="5" xfId="2" applyNumberFormat="1" applyFont="1" applyBorder="1"/>
    <xf numFmtId="166" fontId="8" fillId="0" borderId="5" xfId="0" applyNumberFormat="1" applyFont="1" applyBorder="1"/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00FF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66675</xdr:rowOff>
    </xdr:from>
    <xdr:to>
      <xdr:col>3</xdr:col>
      <xdr:colOff>485775</xdr:colOff>
      <xdr:row>5</xdr:row>
      <xdr:rowOff>6178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66675"/>
          <a:ext cx="2162175" cy="8920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466725</xdr:colOff>
          <xdr:row>1</xdr:row>
          <xdr:rowOff>152400</xdr:rowOff>
        </xdr:from>
        <xdr:to>
          <xdr:col>12</xdr:col>
          <xdr:colOff>371475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466725</xdr:colOff>
          <xdr:row>6</xdr:row>
          <xdr:rowOff>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542925</xdr:colOff>
          <xdr:row>4</xdr:row>
          <xdr:rowOff>9525</xdr:rowOff>
        </xdr:from>
        <xdr:to>
          <xdr:col>12</xdr:col>
          <xdr:colOff>352425</xdr:colOff>
          <xdr:row>8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Projected Savings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542925</xdr:colOff>
          <xdr:row>10</xdr:row>
          <xdr:rowOff>85725</xdr:rowOff>
        </xdr:from>
        <xdr:to>
          <xdr:col>12</xdr:col>
          <xdr:colOff>333375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581025</xdr:colOff>
          <xdr:row>2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9525</xdr:rowOff>
        </xdr:from>
        <xdr:to>
          <xdr:col>3</xdr:col>
          <xdr:colOff>561975</xdr:colOff>
          <xdr:row>2</xdr:row>
          <xdr:rowOff>228600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333375</xdr:colOff>
          <xdr:row>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0</xdr:row>
          <xdr:rowOff>0</xdr:rowOff>
        </xdr:from>
        <xdr:to>
          <xdr:col>4</xdr:col>
          <xdr:colOff>314325</xdr:colOff>
          <xdr:row>3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theinfiniteactuary.com/exams/33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7:D9"/>
  <sheetViews>
    <sheetView tabSelected="1" zoomScaleNormal="100" workbookViewId="0">
      <selection activeCell="A10" sqref="A10"/>
    </sheetView>
  </sheetViews>
  <sheetFormatPr defaultRowHeight="15" x14ac:dyDescent="0.25"/>
  <sheetData>
    <row r="7" spans="1:4" ht="20.25" x14ac:dyDescent="0.3">
      <c r="A7" s="15" t="s">
        <v>4</v>
      </c>
      <c r="B7" s="14"/>
      <c r="C7" s="14"/>
      <c r="D7" s="14"/>
    </row>
    <row r="8" spans="1:4" ht="20.25" x14ac:dyDescent="0.3">
      <c r="A8" s="14" t="s">
        <v>30</v>
      </c>
      <c r="B8" s="14"/>
      <c r="C8" s="14"/>
      <c r="D8" s="14"/>
    </row>
    <row r="9" spans="1:4" ht="20.25" x14ac:dyDescent="0.3">
      <c r="A9" s="14" t="s">
        <v>31</v>
      </c>
    </row>
  </sheetData>
  <hyperlinks>
    <hyperlink ref="A7" r:id="rId1" xr:uid="{00000000-0004-0000-0000-000000000000}"/>
  </hyperlinks>
  <pageMargins left="0.7" right="0.7" top="0.75" bottom="0.75" header="0.3" footer="0.3"/>
  <pageSetup scale="7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putsSheet">
                <anchor moveWithCells="1" sizeWithCells="1">
                  <from>
                    <xdr:col>9</xdr:col>
                    <xdr:colOff>466725</xdr:colOff>
                    <xdr:row>1</xdr:row>
                    <xdr:rowOff>152400</xdr:rowOff>
                  </from>
                  <to>
                    <xdr:col>12</xdr:col>
                    <xdr:colOff>371475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odelsSheet">
                <anchor moveWithCells="1" sizeWithCells="1">
                  <from>
                    <xdr:col>9</xdr:col>
                    <xdr:colOff>466725</xdr:colOff>
                    <xdr:row>6</xdr:row>
                    <xdr:rowOff>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2"/>
  <sheetViews>
    <sheetView showGridLines="0" zoomScaleNormal="100" workbookViewId="0">
      <selection activeCell="A4" sqref="A4"/>
    </sheetView>
  </sheetViews>
  <sheetFormatPr defaultRowHeight="15" x14ac:dyDescent="0.25"/>
  <cols>
    <col min="6" max="6" width="36.42578125" bestFit="1" customWidth="1"/>
    <col min="8" max="8" width="23.5703125" customWidth="1"/>
  </cols>
  <sheetData>
    <row r="1" spans="1:8" x14ac:dyDescent="0.25">
      <c r="A1">
        <v>3</v>
      </c>
    </row>
    <row r="3" spans="1:8" ht="20.25" x14ac:dyDescent="0.3">
      <c r="F3" s="14" t="s">
        <v>33</v>
      </c>
    </row>
    <row r="5" spans="1:8" x14ac:dyDescent="0.25">
      <c r="F5" s="32" t="s">
        <v>34</v>
      </c>
      <c r="G5" s="33"/>
      <c r="H5" s="34"/>
    </row>
    <row r="6" spans="1:8" x14ac:dyDescent="0.25">
      <c r="F6" s="2" t="s">
        <v>22</v>
      </c>
      <c r="H6" s="29"/>
    </row>
    <row r="7" spans="1:8" x14ac:dyDescent="0.25">
      <c r="F7" s="32" t="s">
        <v>23</v>
      </c>
      <c r="G7" s="33"/>
      <c r="H7" s="34"/>
    </row>
    <row r="8" spans="1:8" x14ac:dyDescent="0.25">
      <c r="F8" s="2" t="s">
        <v>25</v>
      </c>
      <c r="H8" s="29"/>
    </row>
    <row r="9" spans="1:8" x14ac:dyDescent="0.25">
      <c r="F9" s="32" t="s">
        <v>27</v>
      </c>
      <c r="G9" s="33"/>
      <c r="H9" s="34"/>
    </row>
    <row r="10" spans="1:8" x14ac:dyDescent="0.25">
      <c r="F10" s="2" t="s">
        <v>26</v>
      </c>
      <c r="H10" s="29"/>
    </row>
    <row r="11" spans="1:8" ht="15.75" thickBot="1" x14ac:dyDescent="0.3"/>
    <row r="12" spans="1:8" ht="15.75" thickBot="1" x14ac:dyDescent="0.3">
      <c r="F12" s="2" t="s">
        <v>32</v>
      </c>
      <c r="H12" s="35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laryInput">
                <anchor moveWithCells="1" sizeWithCells="1">
                  <from>
                    <xdr:col>8</xdr:col>
                    <xdr:colOff>542925</xdr:colOff>
                    <xdr:row>4</xdr:row>
                    <xdr:rowOff>9525</xdr:rowOff>
                  </from>
                  <to>
                    <xdr:col>12</xdr:col>
                    <xdr:colOff>352425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Contents">
                <anchor moveWithCells="1" sizeWithCells="1">
                  <from>
                    <xdr:col>8</xdr:col>
                    <xdr:colOff>542925</xdr:colOff>
                    <xdr:row>10</xdr:row>
                    <xdr:rowOff>85725</xdr:rowOff>
                  </from>
                  <to>
                    <xdr:col>12</xdr:col>
                    <xdr:colOff>333375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odelsShee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581025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AboutSheet">
                <anchor moveWithCells="1" sizeWithCells="1">
                  <from>
                    <xdr:col>1</xdr:col>
                    <xdr:colOff>590550</xdr:colOff>
                    <xdr:row>0</xdr:row>
                    <xdr:rowOff>9525</xdr:rowOff>
                  </from>
                  <to>
                    <xdr:col>3</xdr:col>
                    <xdr:colOff>561975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39"/>
  <sheetViews>
    <sheetView zoomScaleNormal="100" workbookViewId="0">
      <selection activeCell="D4" sqref="D4"/>
    </sheetView>
  </sheetViews>
  <sheetFormatPr defaultColWidth="9.140625" defaultRowHeight="12.75" x14ac:dyDescent="0.2"/>
  <cols>
    <col min="1" max="1" width="9.140625" style="2"/>
    <col min="2" max="2" width="4" style="2" customWidth="1"/>
    <col min="3" max="4" width="9.140625" style="2"/>
    <col min="5" max="5" width="12.85546875" style="2" bestFit="1" customWidth="1"/>
    <col min="6" max="7" width="9.140625" style="2"/>
    <col min="8" max="12" width="16.28515625" style="2" customWidth="1"/>
    <col min="13" max="13" width="16.28515625" style="45" customWidth="1"/>
    <col min="14" max="51" width="16.28515625" style="2" customWidth="1"/>
    <col min="52" max="16384" width="9.140625" style="2"/>
  </cols>
  <sheetData>
    <row r="1" spans="1:51" x14ac:dyDescent="0.2">
      <c r="A1" s="6"/>
      <c r="G1" s="24" t="s">
        <v>15</v>
      </c>
      <c r="H1" s="23">
        <v>22</v>
      </c>
      <c r="I1" s="2">
        <f>H1+1</f>
        <v>23</v>
      </c>
      <c r="J1" s="2">
        <f t="shared" ref="J1:AY1" si="0">I1+1</f>
        <v>24</v>
      </c>
      <c r="K1" s="2">
        <f t="shared" si="0"/>
        <v>25</v>
      </c>
      <c r="L1" s="2">
        <f t="shared" si="0"/>
        <v>26</v>
      </c>
      <c r="M1" s="45">
        <f t="shared" si="0"/>
        <v>27</v>
      </c>
      <c r="N1" s="2">
        <f t="shared" si="0"/>
        <v>28</v>
      </c>
      <c r="O1" s="2">
        <f t="shared" si="0"/>
        <v>29</v>
      </c>
      <c r="P1" s="2">
        <f t="shared" si="0"/>
        <v>30</v>
      </c>
      <c r="Q1" s="2">
        <f t="shared" si="0"/>
        <v>31</v>
      </c>
      <c r="R1" s="2">
        <f t="shared" si="0"/>
        <v>32</v>
      </c>
      <c r="S1" s="2">
        <f t="shared" si="0"/>
        <v>33</v>
      </c>
      <c r="T1" s="2">
        <f t="shared" si="0"/>
        <v>34</v>
      </c>
      <c r="U1" s="2">
        <f t="shared" si="0"/>
        <v>35</v>
      </c>
      <c r="V1" s="2">
        <f t="shared" si="0"/>
        <v>36</v>
      </c>
      <c r="W1" s="2">
        <f t="shared" si="0"/>
        <v>37</v>
      </c>
      <c r="X1" s="2">
        <f t="shared" si="0"/>
        <v>38</v>
      </c>
      <c r="Y1" s="2">
        <f t="shared" si="0"/>
        <v>39</v>
      </c>
      <c r="Z1" s="2">
        <f t="shared" si="0"/>
        <v>40</v>
      </c>
      <c r="AA1" s="2">
        <f t="shared" si="0"/>
        <v>41</v>
      </c>
      <c r="AB1" s="2">
        <f t="shared" si="0"/>
        <v>42</v>
      </c>
      <c r="AC1" s="2">
        <f t="shared" si="0"/>
        <v>43</v>
      </c>
      <c r="AD1" s="2">
        <f t="shared" si="0"/>
        <v>44</v>
      </c>
      <c r="AE1" s="2">
        <f t="shared" si="0"/>
        <v>45</v>
      </c>
      <c r="AF1" s="2">
        <f t="shared" si="0"/>
        <v>46</v>
      </c>
      <c r="AG1" s="2">
        <f t="shared" si="0"/>
        <v>47</v>
      </c>
      <c r="AH1" s="2">
        <f t="shared" si="0"/>
        <v>48</v>
      </c>
      <c r="AI1" s="2">
        <f t="shared" si="0"/>
        <v>49</v>
      </c>
      <c r="AJ1" s="2">
        <f t="shared" si="0"/>
        <v>50</v>
      </c>
      <c r="AK1" s="2">
        <f t="shared" si="0"/>
        <v>51</v>
      </c>
      <c r="AL1" s="2">
        <f t="shared" si="0"/>
        <v>52</v>
      </c>
      <c r="AM1" s="2">
        <f t="shared" si="0"/>
        <v>53</v>
      </c>
      <c r="AN1" s="2">
        <f t="shared" si="0"/>
        <v>54</v>
      </c>
      <c r="AO1" s="2">
        <f t="shared" si="0"/>
        <v>55</v>
      </c>
      <c r="AP1" s="2">
        <f t="shared" si="0"/>
        <v>56</v>
      </c>
      <c r="AQ1" s="2">
        <f t="shared" si="0"/>
        <v>57</v>
      </c>
      <c r="AR1" s="2">
        <f t="shared" si="0"/>
        <v>58</v>
      </c>
      <c r="AS1" s="2">
        <f t="shared" si="0"/>
        <v>59</v>
      </c>
      <c r="AT1" s="2">
        <f t="shared" si="0"/>
        <v>60</v>
      </c>
      <c r="AU1" s="2">
        <f t="shared" si="0"/>
        <v>61</v>
      </c>
      <c r="AV1" s="2">
        <f t="shared" si="0"/>
        <v>62</v>
      </c>
      <c r="AW1" s="2">
        <f t="shared" si="0"/>
        <v>63</v>
      </c>
      <c r="AX1" s="2">
        <f t="shared" si="0"/>
        <v>64</v>
      </c>
      <c r="AY1" s="2">
        <f t="shared" si="0"/>
        <v>65</v>
      </c>
    </row>
    <row r="2" spans="1:51" x14ac:dyDescent="0.2">
      <c r="H2" s="16"/>
      <c r="I2" s="17"/>
      <c r="J2" s="17" t="s">
        <v>1</v>
      </c>
      <c r="K2" s="17"/>
      <c r="L2" s="36"/>
      <c r="M2" s="46"/>
      <c r="N2" s="18" t="s">
        <v>2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</row>
    <row r="3" spans="1:51" x14ac:dyDescent="0.2">
      <c r="H3" s="19">
        <f t="shared" ref="H3:J3" si="1">I3-1</f>
        <v>2012</v>
      </c>
      <c r="I3" s="19">
        <f t="shared" si="1"/>
        <v>2013</v>
      </c>
      <c r="J3" s="19">
        <f t="shared" si="1"/>
        <v>2014</v>
      </c>
      <c r="K3" s="19">
        <f>L3-1</f>
        <v>2015</v>
      </c>
      <c r="L3" s="37">
        <f>M3-1</f>
        <v>2016</v>
      </c>
      <c r="M3" s="47">
        <v>2017</v>
      </c>
      <c r="N3" s="19">
        <f>M3+1</f>
        <v>2018</v>
      </c>
      <c r="O3" s="19">
        <f t="shared" ref="O3:AN3" si="2">N3+1</f>
        <v>2019</v>
      </c>
      <c r="P3" s="19">
        <f t="shared" si="2"/>
        <v>2020</v>
      </c>
      <c r="Q3" s="19">
        <f t="shared" si="2"/>
        <v>2021</v>
      </c>
      <c r="R3" s="19">
        <f t="shared" si="2"/>
        <v>2022</v>
      </c>
      <c r="S3" s="19">
        <f t="shared" si="2"/>
        <v>2023</v>
      </c>
      <c r="T3" s="19">
        <f t="shared" si="2"/>
        <v>2024</v>
      </c>
      <c r="U3" s="19">
        <f t="shared" si="2"/>
        <v>2025</v>
      </c>
      <c r="V3" s="19">
        <f t="shared" si="2"/>
        <v>2026</v>
      </c>
      <c r="W3" s="19">
        <f t="shared" si="2"/>
        <v>2027</v>
      </c>
      <c r="X3" s="19">
        <f t="shared" si="2"/>
        <v>2028</v>
      </c>
      <c r="Y3" s="19">
        <f t="shared" si="2"/>
        <v>2029</v>
      </c>
      <c r="Z3" s="19">
        <f t="shared" si="2"/>
        <v>2030</v>
      </c>
      <c r="AA3" s="19">
        <f t="shared" si="2"/>
        <v>2031</v>
      </c>
      <c r="AB3" s="19">
        <f t="shared" si="2"/>
        <v>2032</v>
      </c>
      <c r="AC3" s="19">
        <f t="shared" si="2"/>
        <v>2033</v>
      </c>
      <c r="AD3" s="19">
        <f t="shared" si="2"/>
        <v>2034</v>
      </c>
      <c r="AE3" s="19">
        <f t="shared" si="2"/>
        <v>2035</v>
      </c>
      <c r="AF3" s="19">
        <f t="shared" si="2"/>
        <v>2036</v>
      </c>
      <c r="AG3" s="19">
        <f t="shared" si="2"/>
        <v>2037</v>
      </c>
      <c r="AH3" s="19">
        <f t="shared" si="2"/>
        <v>2038</v>
      </c>
      <c r="AI3" s="19">
        <f t="shared" si="2"/>
        <v>2039</v>
      </c>
      <c r="AJ3" s="19">
        <f t="shared" si="2"/>
        <v>2040</v>
      </c>
      <c r="AK3" s="19">
        <f t="shared" si="2"/>
        <v>2041</v>
      </c>
      <c r="AL3" s="19">
        <f t="shared" si="2"/>
        <v>2042</v>
      </c>
      <c r="AM3" s="19">
        <f t="shared" si="2"/>
        <v>2043</v>
      </c>
      <c r="AN3" s="19">
        <f t="shared" si="2"/>
        <v>2044</v>
      </c>
      <c r="AO3" s="19">
        <f t="shared" ref="AO3:AY3" si="3">AN3+1</f>
        <v>2045</v>
      </c>
      <c r="AP3" s="19">
        <f t="shared" si="3"/>
        <v>2046</v>
      </c>
      <c r="AQ3" s="19">
        <f t="shared" si="3"/>
        <v>2047</v>
      </c>
      <c r="AR3" s="19">
        <f t="shared" si="3"/>
        <v>2048</v>
      </c>
      <c r="AS3" s="19">
        <f t="shared" si="3"/>
        <v>2049</v>
      </c>
      <c r="AT3" s="19">
        <f t="shared" si="3"/>
        <v>2050</v>
      </c>
      <c r="AU3" s="19">
        <f t="shared" si="3"/>
        <v>2051</v>
      </c>
      <c r="AV3" s="19">
        <f t="shared" si="3"/>
        <v>2052</v>
      </c>
      <c r="AW3" s="19">
        <f t="shared" si="3"/>
        <v>2053</v>
      </c>
      <c r="AX3" s="19">
        <f t="shared" si="3"/>
        <v>2054</v>
      </c>
      <c r="AY3" s="19">
        <f t="shared" si="3"/>
        <v>2055</v>
      </c>
    </row>
    <row r="4" spans="1:51" x14ac:dyDescent="0.2">
      <c r="H4" s="20"/>
      <c r="I4" s="20"/>
      <c r="J4" s="20"/>
      <c r="K4" s="20"/>
      <c r="L4" s="20"/>
      <c r="M4" s="48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</row>
    <row r="5" spans="1:51" x14ac:dyDescent="0.2">
      <c r="B5" s="4" t="s">
        <v>7</v>
      </c>
      <c r="H5" s="20"/>
      <c r="I5" s="20"/>
      <c r="J5" s="20"/>
      <c r="K5" s="20"/>
      <c r="L5" s="20"/>
      <c r="M5" s="48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</row>
    <row r="6" spans="1:51" x14ac:dyDescent="0.2">
      <c r="B6" s="2" t="s">
        <v>13</v>
      </c>
      <c r="H6" s="7">
        <v>50000</v>
      </c>
      <c r="I6" s="7">
        <v>60000</v>
      </c>
      <c r="J6" s="7">
        <v>70000</v>
      </c>
      <c r="K6" s="7">
        <v>80000</v>
      </c>
      <c r="L6" s="38">
        <v>90000</v>
      </c>
      <c r="M6" s="49">
        <f>L6*(1+M31)</f>
        <v>99990</v>
      </c>
      <c r="N6" s="21">
        <f t="shared" ref="N6:AY6" si="4">M6*(1+N31)</f>
        <v>102989.7</v>
      </c>
      <c r="O6" s="21">
        <f t="shared" si="4"/>
        <v>106079.391</v>
      </c>
      <c r="P6" s="21">
        <f t="shared" si="4"/>
        <v>109261.77273000001</v>
      </c>
      <c r="Q6" s="21">
        <f t="shared" si="4"/>
        <v>112539.62591190002</v>
      </c>
      <c r="R6" s="21">
        <f t="shared" si="4"/>
        <v>115915.81468925702</v>
      </c>
      <c r="S6" s="21">
        <f t="shared" si="4"/>
        <v>119393.28912993474</v>
      </c>
      <c r="T6" s="21">
        <f t="shared" si="4"/>
        <v>122975.08780383278</v>
      </c>
      <c r="U6" s="21">
        <f t="shared" si="4"/>
        <v>126664.34043794777</v>
      </c>
      <c r="V6" s="21">
        <f t="shared" si="4"/>
        <v>130464.2706510862</v>
      </c>
      <c r="W6" s="21">
        <f t="shared" si="4"/>
        <v>134378.19877061879</v>
      </c>
      <c r="X6" s="21">
        <f t="shared" si="4"/>
        <v>138409.54473373736</v>
      </c>
      <c r="Y6" s="21">
        <f t="shared" si="4"/>
        <v>142561.83107574948</v>
      </c>
      <c r="Z6" s="21">
        <f t="shared" si="4"/>
        <v>146838.68600802196</v>
      </c>
      <c r="AA6" s="21">
        <f t="shared" si="4"/>
        <v>151243.84658826262</v>
      </c>
      <c r="AB6" s="21">
        <f t="shared" si="4"/>
        <v>155781.1619859105</v>
      </c>
      <c r="AC6" s="21">
        <f t="shared" si="4"/>
        <v>160454.59684548783</v>
      </c>
      <c r="AD6" s="21">
        <f t="shared" si="4"/>
        <v>165268.23475085248</v>
      </c>
      <c r="AE6" s="21">
        <f t="shared" si="4"/>
        <v>170226.28179337806</v>
      </c>
      <c r="AF6" s="21">
        <f t="shared" si="4"/>
        <v>175333.07024717942</v>
      </c>
      <c r="AG6" s="21">
        <f t="shared" si="4"/>
        <v>180593.06235459482</v>
      </c>
      <c r="AH6" s="21">
        <f t="shared" si="4"/>
        <v>186010.85422523267</v>
      </c>
      <c r="AI6" s="21">
        <f t="shared" si="4"/>
        <v>191591.17985198967</v>
      </c>
      <c r="AJ6" s="21">
        <f t="shared" si="4"/>
        <v>197338.91524754936</v>
      </c>
      <c r="AK6" s="21">
        <f t="shared" si="4"/>
        <v>203259.08270497585</v>
      </c>
      <c r="AL6" s="21">
        <f t="shared" si="4"/>
        <v>209356.85518612515</v>
      </c>
      <c r="AM6" s="21">
        <f t="shared" si="4"/>
        <v>215637.56084170891</v>
      </c>
      <c r="AN6" s="21">
        <f t="shared" si="4"/>
        <v>222106.68766696018</v>
      </c>
      <c r="AO6" s="21">
        <f t="shared" si="4"/>
        <v>228769.888296969</v>
      </c>
      <c r="AP6" s="21">
        <f t="shared" si="4"/>
        <v>235632.98494587807</v>
      </c>
      <c r="AQ6" s="21">
        <f t="shared" si="4"/>
        <v>242701.97449425442</v>
      </c>
      <c r="AR6" s="21">
        <f t="shared" si="4"/>
        <v>249983.03372908206</v>
      </c>
      <c r="AS6" s="21">
        <f t="shared" si="4"/>
        <v>257482.52474095454</v>
      </c>
      <c r="AT6" s="21">
        <f t="shared" si="4"/>
        <v>265207.00048318319</v>
      </c>
      <c r="AU6" s="21">
        <f t="shared" si="4"/>
        <v>273163.21049767866</v>
      </c>
      <c r="AV6" s="21">
        <f t="shared" si="4"/>
        <v>281358.10681260901</v>
      </c>
      <c r="AW6" s="21">
        <f t="shared" si="4"/>
        <v>289798.8500169873</v>
      </c>
      <c r="AX6" s="21">
        <f t="shared" si="4"/>
        <v>298492.8155174969</v>
      </c>
      <c r="AY6" s="21">
        <f t="shared" si="4"/>
        <v>307447.59998302179</v>
      </c>
    </row>
    <row r="7" spans="1:51" x14ac:dyDescent="0.2">
      <c r="H7" s="22"/>
      <c r="I7" s="22"/>
      <c r="J7" s="22"/>
      <c r="K7" s="22"/>
      <c r="L7" s="22"/>
      <c r="M7" s="50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</row>
    <row r="8" spans="1:51" x14ac:dyDescent="0.2">
      <c r="C8" s="3" t="s">
        <v>8</v>
      </c>
      <c r="H8" s="12">
        <f>SUM(H6:H7)</f>
        <v>50000</v>
      </c>
      <c r="I8" s="12">
        <f t="shared" ref="I8:L8" si="5">SUM(I6:I7)</f>
        <v>60000</v>
      </c>
      <c r="J8" s="12">
        <f t="shared" si="5"/>
        <v>70000</v>
      </c>
      <c r="K8" s="12">
        <f t="shared" si="5"/>
        <v>80000</v>
      </c>
      <c r="L8" s="39">
        <f t="shared" si="5"/>
        <v>90000</v>
      </c>
      <c r="M8" s="51">
        <f t="shared" ref="M8" si="6">SUM(M6:M7)</f>
        <v>99990</v>
      </c>
      <c r="N8" s="12">
        <f t="shared" ref="N8" si="7">SUM(N6:N7)</f>
        <v>102989.7</v>
      </c>
      <c r="O8" s="12">
        <f t="shared" ref="O8" si="8">SUM(O6:O7)</f>
        <v>106079.391</v>
      </c>
      <c r="P8" s="12">
        <f t="shared" ref="P8" si="9">SUM(P6:P7)</f>
        <v>109261.77273000001</v>
      </c>
      <c r="Q8" s="12">
        <f t="shared" ref="Q8" si="10">SUM(Q6:Q7)</f>
        <v>112539.62591190002</v>
      </c>
      <c r="R8" s="12">
        <f t="shared" ref="R8" si="11">SUM(R6:R7)</f>
        <v>115915.81468925702</v>
      </c>
      <c r="S8" s="12">
        <f t="shared" ref="S8" si="12">SUM(S6:S7)</f>
        <v>119393.28912993474</v>
      </c>
      <c r="T8" s="12">
        <f t="shared" ref="T8" si="13">SUM(T6:T7)</f>
        <v>122975.08780383278</v>
      </c>
      <c r="U8" s="12">
        <f t="shared" ref="U8" si="14">SUM(U6:U7)</f>
        <v>126664.34043794777</v>
      </c>
      <c r="V8" s="12">
        <f t="shared" ref="V8" si="15">SUM(V6:V7)</f>
        <v>130464.2706510862</v>
      </c>
      <c r="W8" s="12">
        <f t="shared" ref="W8" si="16">SUM(W6:W7)</f>
        <v>134378.19877061879</v>
      </c>
      <c r="X8" s="12">
        <f t="shared" ref="X8" si="17">SUM(X6:X7)</f>
        <v>138409.54473373736</v>
      </c>
      <c r="Y8" s="12">
        <f t="shared" ref="Y8" si="18">SUM(Y6:Y7)</f>
        <v>142561.83107574948</v>
      </c>
      <c r="Z8" s="12">
        <f t="shared" ref="Z8" si="19">SUM(Z6:Z7)</f>
        <v>146838.68600802196</v>
      </c>
      <c r="AA8" s="12">
        <f t="shared" ref="AA8" si="20">SUM(AA6:AA7)</f>
        <v>151243.84658826262</v>
      </c>
      <c r="AB8" s="12">
        <f t="shared" ref="AB8" si="21">SUM(AB6:AB7)</f>
        <v>155781.1619859105</v>
      </c>
      <c r="AC8" s="12">
        <f t="shared" ref="AC8" si="22">SUM(AC6:AC7)</f>
        <v>160454.59684548783</v>
      </c>
      <c r="AD8" s="12">
        <f t="shared" ref="AD8" si="23">SUM(AD6:AD7)</f>
        <v>165268.23475085248</v>
      </c>
      <c r="AE8" s="12">
        <f t="shared" ref="AE8" si="24">SUM(AE6:AE7)</f>
        <v>170226.28179337806</v>
      </c>
      <c r="AF8" s="12">
        <f t="shared" ref="AF8" si="25">SUM(AF6:AF7)</f>
        <v>175333.07024717942</v>
      </c>
      <c r="AG8" s="12">
        <f t="shared" ref="AG8" si="26">SUM(AG6:AG7)</f>
        <v>180593.06235459482</v>
      </c>
      <c r="AH8" s="12">
        <f t="shared" ref="AH8" si="27">SUM(AH6:AH7)</f>
        <v>186010.85422523267</v>
      </c>
      <c r="AI8" s="12">
        <f t="shared" ref="AI8" si="28">SUM(AI6:AI7)</f>
        <v>191591.17985198967</v>
      </c>
      <c r="AJ8" s="12">
        <f t="shared" ref="AJ8" si="29">SUM(AJ6:AJ7)</f>
        <v>197338.91524754936</v>
      </c>
      <c r="AK8" s="12">
        <f t="shared" ref="AK8" si="30">SUM(AK6:AK7)</f>
        <v>203259.08270497585</v>
      </c>
      <c r="AL8" s="12">
        <f t="shared" ref="AL8" si="31">SUM(AL6:AL7)</f>
        <v>209356.85518612515</v>
      </c>
      <c r="AM8" s="12">
        <f t="shared" ref="AM8" si="32">SUM(AM6:AM7)</f>
        <v>215637.56084170891</v>
      </c>
      <c r="AN8" s="12">
        <f t="shared" ref="AN8" si="33">SUM(AN6:AN7)</f>
        <v>222106.68766696018</v>
      </c>
      <c r="AO8" s="12">
        <f t="shared" ref="AO8" si="34">SUM(AO6:AO7)</f>
        <v>228769.888296969</v>
      </c>
      <c r="AP8" s="12">
        <f t="shared" ref="AP8" si="35">SUM(AP6:AP7)</f>
        <v>235632.98494587807</v>
      </c>
      <c r="AQ8" s="12">
        <f t="shared" ref="AQ8" si="36">SUM(AQ6:AQ7)</f>
        <v>242701.97449425442</v>
      </c>
      <c r="AR8" s="12">
        <f t="shared" ref="AR8" si="37">SUM(AR6:AR7)</f>
        <v>249983.03372908206</v>
      </c>
      <c r="AS8" s="12">
        <f t="shared" ref="AS8" si="38">SUM(AS6:AS7)</f>
        <v>257482.52474095454</v>
      </c>
      <c r="AT8" s="12">
        <f t="shared" ref="AT8" si="39">SUM(AT6:AT7)</f>
        <v>265207.00048318319</v>
      </c>
      <c r="AU8" s="12">
        <f t="shared" ref="AU8" si="40">SUM(AU6:AU7)</f>
        <v>273163.21049767866</v>
      </c>
      <c r="AV8" s="12">
        <f t="shared" ref="AV8" si="41">SUM(AV6:AV7)</f>
        <v>281358.10681260901</v>
      </c>
      <c r="AW8" s="12">
        <f t="shared" ref="AW8" si="42">SUM(AW6:AW7)</f>
        <v>289798.8500169873</v>
      </c>
      <c r="AX8" s="12">
        <f t="shared" ref="AX8" si="43">SUM(AX6:AX7)</f>
        <v>298492.8155174969</v>
      </c>
      <c r="AY8" s="12">
        <f t="shared" ref="AY8" si="44">SUM(AY6:AY7)</f>
        <v>307447.59998302179</v>
      </c>
    </row>
    <row r="9" spans="1:51" x14ac:dyDescent="0.2">
      <c r="H9" s="12"/>
      <c r="I9" s="12"/>
      <c r="J9" s="12"/>
      <c r="K9" s="12"/>
      <c r="L9" s="39"/>
      <c r="M9" s="51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</row>
    <row r="10" spans="1:51" x14ac:dyDescent="0.2">
      <c r="B10" s="4" t="s">
        <v>9</v>
      </c>
      <c r="H10" s="12"/>
      <c r="I10" s="12"/>
      <c r="J10" s="12"/>
      <c r="K10" s="12"/>
      <c r="L10" s="39"/>
      <c r="M10" s="51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</row>
    <row r="11" spans="1:51" x14ac:dyDescent="0.2">
      <c r="B11" s="2" t="s">
        <v>5</v>
      </c>
      <c r="H11" s="10">
        <f>1500*12</f>
        <v>18000</v>
      </c>
      <c r="I11" s="10">
        <f t="shared" ref="I11:L11" si="45">1500*12</f>
        <v>18000</v>
      </c>
      <c r="J11" s="10">
        <f t="shared" si="45"/>
        <v>18000</v>
      </c>
      <c r="K11" s="10">
        <f t="shared" si="45"/>
        <v>18000</v>
      </c>
      <c r="L11" s="40">
        <f t="shared" si="45"/>
        <v>18000</v>
      </c>
      <c r="M11" s="51">
        <f>L11</f>
        <v>18000</v>
      </c>
      <c r="N11" s="12">
        <f t="shared" ref="N11:AK11" si="46">M11</f>
        <v>18000</v>
      </c>
      <c r="O11" s="12">
        <f t="shared" si="46"/>
        <v>18000</v>
      </c>
      <c r="P11" s="12">
        <f t="shared" si="46"/>
        <v>18000</v>
      </c>
      <c r="Q11" s="12">
        <f t="shared" si="46"/>
        <v>18000</v>
      </c>
      <c r="R11" s="12">
        <f t="shared" si="46"/>
        <v>18000</v>
      </c>
      <c r="S11" s="12">
        <f t="shared" si="46"/>
        <v>18000</v>
      </c>
      <c r="T11" s="12">
        <f t="shared" si="46"/>
        <v>18000</v>
      </c>
      <c r="U11" s="12">
        <f t="shared" si="46"/>
        <v>18000</v>
      </c>
      <c r="V11" s="12">
        <f t="shared" si="46"/>
        <v>18000</v>
      </c>
      <c r="W11" s="12">
        <f t="shared" si="46"/>
        <v>18000</v>
      </c>
      <c r="X11" s="12">
        <f t="shared" si="46"/>
        <v>18000</v>
      </c>
      <c r="Y11" s="12">
        <f t="shared" si="46"/>
        <v>18000</v>
      </c>
      <c r="Z11" s="12">
        <f t="shared" si="46"/>
        <v>18000</v>
      </c>
      <c r="AA11" s="12">
        <f t="shared" si="46"/>
        <v>18000</v>
      </c>
      <c r="AB11" s="12">
        <f t="shared" si="46"/>
        <v>18000</v>
      </c>
      <c r="AC11" s="12">
        <f t="shared" si="46"/>
        <v>18000</v>
      </c>
      <c r="AD11" s="12">
        <f t="shared" si="46"/>
        <v>18000</v>
      </c>
      <c r="AE11" s="12">
        <f t="shared" si="46"/>
        <v>18000</v>
      </c>
      <c r="AF11" s="12">
        <f t="shared" si="46"/>
        <v>18000</v>
      </c>
      <c r="AG11" s="12">
        <f t="shared" si="46"/>
        <v>18000</v>
      </c>
      <c r="AH11" s="12">
        <f t="shared" si="46"/>
        <v>18000</v>
      </c>
      <c r="AI11" s="12">
        <f t="shared" si="46"/>
        <v>18000</v>
      </c>
      <c r="AJ11" s="12">
        <f t="shared" si="46"/>
        <v>18000</v>
      </c>
      <c r="AK11" s="12">
        <f t="shared" si="46"/>
        <v>18000</v>
      </c>
      <c r="AL11" s="12"/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</row>
    <row r="12" spans="1:51" x14ac:dyDescent="0.2">
      <c r="B12" s="2" t="s">
        <v>14</v>
      </c>
      <c r="H12" s="10">
        <f>300*12</f>
        <v>3600</v>
      </c>
      <c r="I12" s="10">
        <f t="shared" ref="I12:L12" si="47">300*12</f>
        <v>3600</v>
      </c>
      <c r="J12" s="10">
        <f t="shared" si="47"/>
        <v>3600</v>
      </c>
      <c r="K12" s="10">
        <f t="shared" si="47"/>
        <v>3600</v>
      </c>
      <c r="L12" s="40">
        <f t="shared" si="47"/>
        <v>3600</v>
      </c>
      <c r="M12" s="51">
        <f>L12</f>
        <v>3600</v>
      </c>
      <c r="N12" s="12">
        <f t="shared" ref="N12:Q12" si="48">M12</f>
        <v>3600</v>
      </c>
      <c r="O12" s="12">
        <f t="shared" si="48"/>
        <v>3600</v>
      </c>
      <c r="P12" s="12">
        <f t="shared" si="48"/>
        <v>3600</v>
      </c>
      <c r="Q12" s="12">
        <f t="shared" si="48"/>
        <v>3600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</row>
    <row r="13" spans="1:51" x14ac:dyDescent="0.2">
      <c r="B13" s="2" t="s">
        <v>16</v>
      </c>
      <c r="H13" s="10">
        <v>250</v>
      </c>
      <c r="I13" s="10">
        <v>300</v>
      </c>
      <c r="J13" s="10">
        <v>350</v>
      </c>
      <c r="K13" s="10">
        <v>400</v>
      </c>
      <c r="L13" s="40">
        <v>450</v>
      </c>
      <c r="M13" s="51">
        <f>M6*M34</f>
        <v>1999.8</v>
      </c>
      <c r="N13" s="12">
        <f t="shared" ref="N13:AY13" si="49">N6*N34</f>
        <v>2059.7939999999999</v>
      </c>
      <c r="O13" s="12">
        <f t="shared" si="49"/>
        <v>2121.5878200000002</v>
      </c>
      <c r="P13" s="12">
        <f t="shared" si="49"/>
        <v>2185.2354546000001</v>
      </c>
      <c r="Q13" s="12">
        <f t="shared" si="49"/>
        <v>2250.7925182380004</v>
      </c>
      <c r="R13" s="12">
        <f t="shared" si="49"/>
        <v>2318.3162937851407</v>
      </c>
      <c r="S13" s="12">
        <f t="shared" si="49"/>
        <v>2387.8657825986948</v>
      </c>
      <c r="T13" s="12">
        <f t="shared" si="49"/>
        <v>2459.5017560766555</v>
      </c>
      <c r="U13" s="12">
        <f t="shared" si="49"/>
        <v>2533.2868087589554</v>
      </c>
      <c r="V13" s="12">
        <f t="shared" si="49"/>
        <v>2609.2854130217243</v>
      </c>
      <c r="W13" s="12">
        <f t="shared" si="49"/>
        <v>2687.5639754123758</v>
      </c>
      <c r="X13" s="12">
        <f t="shared" si="49"/>
        <v>2768.1908946747471</v>
      </c>
      <c r="Y13" s="12">
        <f t="shared" si="49"/>
        <v>2851.2366215149896</v>
      </c>
      <c r="Z13" s="12">
        <f t="shared" si="49"/>
        <v>2936.7737201604391</v>
      </c>
      <c r="AA13" s="12">
        <f t="shared" si="49"/>
        <v>3024.8769317652523</v>
      </c>
      <c r="AB13" s="12">
        <f t="shared" si="49"/>
        <v>3115.6232397182102</v>
      </c>
      <c r="AC13" s="12">
        <f t="shared" si="49"/>
        <v>3209.0919369097569</v>
      </c>
      <c r="AD13" s="12">
        <f t="shared" si="49"/>
        <v>3305.3646950170496</v>
      </c>
      <c r="AE13" s="12">
        <f t="shared" si="49"/>
        <v>3404.5256358675615</v>
      </c>
      <c r="AF13" s="12">
        <f t="shared" si="49"/>
        <v>3506.6614049435884</v>
      </c>
      <c r="AG13" s="12">
        <f t="shared" si="49"/>
        <v>3611.8612470918965</v>
      </c>
      <c r="AH13" s="12">
        <f t="shared" si="49"/>
        <v>3720.2170845046535</v>
      </c>
      <c r="AI13" s="12">
        <f t="shared" si="49"/>
        <v>3831.8235970397936</v>
      </c>
      <c r="AJ13" s="12">
        <f t="shared" si="49"/>
        <v>3946.7783049509871</v>
      </c>
      <c r="AK13" s="12">
        <f t="shared" si="49"/>
        <v>4065.1816540995173</v>
      </c>
      <c r="AL13" s="12">
        <f t="shared" si="49"/>
        <v>4187.1371037225026</v>
      </c>
      <c r="AM13" s="12">
        <f t="shared" si="49"/>
        <v>4312.7512168341782</v>
      </c>
      <c r="AN13" s="12">
        <f t="shared" si="49"/>
        <v>4442.1337533392034</v>
      </c>
      <c r="AO13" s="12">
        <f t="shared" si="49"/>
        <v>4575.3977659393804</v>
      </c>
      <c r="AP13" s="12">
        <f t="shared" si="49"/>
        <v>4712.6596989175614</v>
      </c>
      <c r="AQ13" s="12">
        <f t="shared" si="49"/>
        <v>4854.0394898850882</v>
      </c>
      <c r="AR13" s="12">
        <f t="shared" si="49"/>
        <v>4999.6606745816416</v>
      </c>
      <c r="AS13" s="12">
        <f t="shared" si="49"/>
        <v>5149.6504948190914</v>
      </c>
      <c r="AT13" s="12">
        <f t="shared" si="49"/>
        <v>5304.1400096636635</v>
      </c>
      <c r="AU13" s="12">
        <f t="shared" si="49"/>
        <v>5463.2642099535733</v>
      </c>
      <c r="AV13" s="12">
        <f t="shared" si="49"/>
        <v>5627.1621362521801</v>
      </c>
      <c r="AW13" s="12">
        <f t="shared" si="49"/>
        <v>5795.9770003397462</v>
      </c>
      <c r="AX13" s="12">
        <f t="shared" si="49"/>
        <v>5969.8563103499382</v>
      </c>
      <c r="AY13" s="12">
        <f t="shared" si="49"/>
        <v>6148.9519996604358</v>
      </c>
    </row>
    <row r="14" spans="1:51" x14ac:dyDescent="0.2">
      <c r="B14" s="2" t="s">
        <v>17</v>
      </c>
      <c r="H14" s="10">
        <v>4500</v>
      </c>
      <c r="I14" s="10">
        <v>5400</v>
      </c>
      <c r="J14" s="10">
        <v>6300</v>
      </c>
      <c r="K14" s="10">
        <v>7200</v>
      </c>
      <c r="L14" s="40">
        <v>8100</v>
      </c>
      <c r="M14" s="51">
        <f>M35*M6</f>
        <v>999.9</v>
      </c>
      <c r="N14" s="12">
        <f t="shared" ref="N14:AY14" si="50">N35*N6</f>
        <v>1029.8969999999999</v>
      </c>
      <c r="O14" s="12">
        <f t="shared" si="50"/>
        <v>1060.7939100000001</v>
      </c>
      <c r="P14" s="12">
        <f t="shared" si="50"/>
        <v>1092.6177273000001</v>
      </c>
      <c r="Q14" s="12">
        <f t="shared" si="50"/>
        <v>1125.3962591190002</v>
      </c>
      <c r="R14" s="12">
        <f t="shared" si="50"/>
        <v>1159.1581468925704</v>
      </c>
      <c r="S14" s="12">
        <f t="shared" si="50"/>
        <v>1193.9328912993474</v>
      </c>
      <c r="T14" s="12">
        <f t="shared" si="50"/>
        <v>1229.7508780383278</v>
      </c>
      <c r="U14" s="12">
        <f t="shared" si="50"/>
        <v>1266.6434043794777</v>
      </c>
      <c r="V14" s="12">
        <f t="shared" si="50"/>
        <v>1304.6427065108621</v>
      </c>
      <c r="W14" s="12">
        <f t="shared" si="50"/>
        <v>1343.7819877061879</v>
      </c>
      <c r="X14" s="12">
        <f t="shared" si="50"/>
        <v>1384.0954473373736</v>
      </c>
      <c r="Y14" s="12">
        <f t="shared" si="50"/>
        <v>1425.6183107574948</v>
      </c>
      <c r="Z14" s="12">
        <f t="shared" si="50"/>
        <v>1468.3868600802195</v>
      </c>
      <c r="AA14" s="12">
        <f t="shared" si="50"/>
        <v>1512.4384658826261</v>
      </c>
      <c r="AB14" s="12">
        <f t="shared" si="50"/>
        <v>1557.8116198591051</v>
      </c>
      <c r="AC14" s="12">
        <f t="shared" si="50"/>
        <v>1604.5459684548784</v>
      </c>
      <c r="AD14" s="12">
        <f t="shared" si="50"/>
        <v>1652.6823475085248</v>
      </c>
      <c r="AE14" s="12">
        <f t="shared" si="50"/>
        <v>1702.2628179337808</v>
      </c>
      <c r="AF14" s="12">
        <f t="shared" si="50"/>
        <v>1753.3307024717942</v>
      </c>
      <c r="AG14" s="12">
        <f t="shared" si="50"/>
        <v>1805.9306235459483</v>
      </c>
      <c r="AH14" s="12">
        <f t="shared" si="50"/>
        <v>1860.1085422523267</v>
      </c>
      <c r="AI14" s="12">
        <f t="shared" si="50"/>
        <v>1915.9117985198968</v>
      </c>
      <c r="AJ14" s="12">
        <f t="shared" si="50"/>
        <v>1973.3891524754936</v>
      </c>
      <c r="AK14" s="12">
        <f t="shared" si="50"/>
        <v>2032.5908270497587</v>
      </c>
      <c r="AL14" s="12">
        <f t="shared" si="50"/>
        <v>2093.5685518612513</v>
      </c>
      <c r="AM14" s="12">
        <f t="shared" si="50"/>
        <v>2156.3756084170891</v>
      </c>
      <c r="AN14" s="12">
        <f t="shared" si="50"/>
        <v>2221.0668766696017</v>
      </c>
      <c r="AO14" s="12">
        <f t="shared" si="50"/>
        <v>2287.6988829696902</v>
      </c>
      <c r="AP14" s="12">
        <f t="shared" si="50"/>
        <v>2356.3298494587807</v>
      </c>
      <c r="AQ14" s="12">
        <f t="shared" si="50"/>
        <v>2427.0197449425441</v>
      </c>
      <c r="AR14" s="12">
        <f t="shared" si="50"/>
        <v>2499.8303372908208</v>
      </c>
      <c r="AS14" s="12">
        <f t="shared" si="50"/>
        <v>2574.8252474095457</v>
      </c>
      <c r="AT14" s="12">
        <f t="shared" si="50"/>
        <v>2652.0700048318317</v>
      </c>
      <c r="AU14" s="12">
        <f t="shared" si="50"/>
        <v>2731.6321049767866</v>
      </c>
      <c r="AV14" s="12">
        <f t="shared" si="50"/>
        <v>2813.58106812609</v>
      </c>
      <c r="AW14" s="12">
        <f t="shared" si="50"/>
        <v>2897.9885001698731</v>
      </c>
      <c r="AX14" s="12">
        <f t="shared" si="50"/>
        <v>2984.9281551749691</v>
      </c>
      <c r="AY14" s="12">
        <f t="shared" si="50"/>
        <v>3074.4759998302179</v>
      </c>
    </row>
    <row r="15" spans="1:51" x14ac:dyDescent="0.2">
      <c r="B15" s="2" t="s">
        <v>18</v>
      </c>
      <c r="H15" s="10">
        <f>100*12</f>
        <v>1200</v>
      </c>
      <c r="I15" s="10">
        <f t="shared" ref="I15:L15" si="51">100*12</f>
        <v>1200</v>
      </c>
      <c r="J15" s="10">
        <f t="shared" si="51"/>
        <v>1200</v>
      </c>
      <c r="K15" s="10">
        <f t="shared" si="51"/>
        <v>1200</v>
      </c>
      <c r="L15" s="40">
        <f t="shared" si="51"/>
        <v>1200</v>
      </c>
      <c r="M15" s="51">
        <f>L15</f>
        <v>1200</v>
      </c>
      <c r="N15" s="12">
        <f t="shared" ref="N15:AY15" si="52">M15</f>
        <v>1200</v>
      </c>
      <c r="O15" s="12">
        <f t="shared" si="52"/>
        <v>1200</v>
      </c>
      <c r="P15" s="12">
        <f t="shared" si="52"/>
        <v>1200</v>
      </c>
      <c r="Q15" s="12">
        <f t="shared" si="52"/>
        <v>1200</v>
      </c>
      <c r="R15" s="12">
        <f t="shared" si="52"/>
        <v>1200</v>
      </c>
      <c r="S15" s="12">
        <f t="shared" si="52"/>
        <v>1200</v>
      </c>
      <c r="T15" s="12">
        <f t="shared" si="52"/>
        <v>1200</v>
      </c>
      <c r="U15" s="12">
        <f t="shared" si="52"/>
        <v>1200</v>
      </c>
      <c r="V15" s="12">
        <f t="shared" si="52"/>
        <v>1200</v>
      </c>
      <c r="W15" s="12">
        <f t="shared" si="52"/>
        <v>1200</v>
      </c>
      <c r="X15" s="12">
        <f t="shared" si="52"/>
        <v>1200</v>
      </c>
      <c r="Y15" s="12">
        <f t="shared" si="52"/>
        <v>1200</v>
      </c>
      <c r="Z15" s="12">
        <f t="shared" si="52"/>
        <v>1200</v>
      </c>
      <c r="AA15" s="12">
        <f t="shared" si="52"/>
        <v>1200</v>
      </c>
      <c r="AB15" s="12">
        <f t="shared" si="52"/>
        <v>1200</v>
      </c>
      <c r="AC15" s="12">
        <f t="shared" si="52"/>
        <v>1200</v>
      </c>
      <c r="AD15" s="12">
        <f t="shared" si="52"/>
        <v>1200</v>
      </c>
      <c r="AE15" s="12">
        <f t="shared" si="52"/>
        <v>1200</v>
      </c>
      <c r="AF15" s="12">
        <f t="shared" si="52"/>
        <v>1200</v>
      </c>
      <c r="AG15" s="12">
        <f t="shared" si="52"/>
        <v>1200</v>
      </c>
      <c r="AH15" s="12">
        <f t="shared" si="52"/>
        <v>1200</v>
      </c>
      <c r="AI15" s="12">
        <f t="shared" si="52"/>
        <v>1200</v>
      </c>
      <c r="AJ15" s="12">
        <f t="shared" si="52"/>
        <v>1200</v>
      </c>
      <c r="AK15" s="12">
        <f t="shared" si="52"/>
        <v>1200</v>
      </c>
      <c r="AL15" s="12">
        <f t="shared" si="52"/>
        <v>1200</v>
      </c>
      <c r="AM15" s="12">
        <f t="shared" si="52"/>
        <v>1200</v>
      </c>
      <c r="AN15" s="12">
        <f t="shared" si="52"/>
        <v>1200</v>
      </c>
      <c r="AO15" s="12">
        <f t="shared" si="52"/>
        <v>1200</v>
      </c>
      <c r="AP15" s="12">
        <f t="shared" si="52"/>
        <v>1200</v>
      </c>
      <c r="AQ15" s="12">
        <f t="shared" si="52"/>
        <v>1200</v>
      </c>
      <c r="AR15" s="12">
        <f t="shared" si="52"/>
        <v>1200</v>
      </c>
      <c r="AS15" s="12">
        <f t="shared" si="52"/>
        <v>1200</v>
      </c>
      <c r="AT15" s="12">
        <f t="shared" si="52"/>
        <v>1200</v>
      </c>
      <c r="AU15" s="12">
        <f t="shared" si="52"/>
        <v>1200</v>
      </c>
      <c r="AV15" s="12">
        <f t="shared" si="52"/>
        <v>1200</v>
      </c>
      <c r="AW15" s="12">
        <f t="shared" si="52"/>
        <v>1200</v>
      </c>
      <c r="AX15" s="12">
        <f t="shared" si="52"/>
        <v>1200</v>
      </c>
      <c r="AY15" s="12">
        <f t="shared" si="52"/>
        <v>1200</v>
      </c>
    </row>
    <row r="16" spans="1:51" x14ac:dyDescent="0.2">
      <c r="B16" s="2" t="s">
        <v>6</v>
      </c>
      <c r="H16" s="10">
        <v>6000</v>
      </c>
      <c r="I16" s="10">
        <v>7200</v>
      </c>
      <c r="J16" s="10">
        <v>8400</v>
      </c>
      <c r="K16" s="10">
        <v>9600</v>
      </c>
      <c r="L16" s="40">
        <v>10800</v>
      </c>
      <c r="M16" s="51">
        <f>M37*M6</f>
        <v>1999.8</v>
      </c>
      <c r="N16" s="12">
        <f t="shared" ref="N16:AY16" si="53">N37*N6</f>
        <v>2059.7939999999999</v>
      </c>
      <c r="O16" s="12">
        <f t="shared" si="53"/>
        <v>2121.5878200000002</v>
      </c>
      <c r="P16" s="12">
        <f t="shared" si="53"/>
        <v>2185.2354546000001</v>
      </c>
      <c r="Q16" s="12">
        <f t="shared" si="53"/>
        <v>2250.7925182380004</v>
      </c>
      <c r="R16" s="12">
        <f t="shared" si="53"/>
        <v>2318.3162937851407</v>
      </c>
      <c r="S16" s="12">
        <f t="shared" si="53"/>
        <v>2387.8657825986948</v>
      </c>
      <c r="T16" s="12">
        <f t="shared" si="53"/>
        <v>2459.5017560766555</v>
      </c>
      <c r="U16" s="12">
        <f t="shared" si="53"/>
        <v>2533.2868087589554</v>
      </c>
      <c r="V16" s="12">
        <f t="shared" si="53"/>
        <v>2609.2854130217243</v>
      </c>
      <c r="W16" s="12">
        <f t="shared" si="53"/>
        <v>2687.5639754123758</v>
      </c>
      <c r="X16" s="12">
        <f t="shared" si="53"/>
        <v>2768.1908946747471</v>
      </c>
      <c r="Y16" s="12">
        <f t="shared" si="53"/>
        <v>2851.2366215149896</v>
      </c>
      <c r="Z16" s="12">
        <f t="shared" si="53"/>
        <v>2936.7737201604391</v>
      </c>
      <c r="AA16" s="12">
        <f t="shared" si="53"/>
        <v>3024.8769317652523</v>
      </c>
      <c r="AB16" s="12">
        <f t="shared" si="53"/>
        <v>3115.6232397182102</v>
      </c>
      <c r="AC16" s="12">
        <f t="shared" si="53"/>
        <v>3209.0919369097569</v>
      </c>
      <c r="AD16" s="12">
        <f t="shared" si="53"/>
        <v>3305.3646950170496</v>
      </c>
      <c r="AE16" s="12">
        <f t="shared" si="53"/>
        <v>3404.5256358675615</v>
      </c>
      <c r="AF16" s="12">
        <f t="shared" si="53"/>
        <v>3506.6614049435884</v>
      </c>
      <c r="AG16" s="12">
        <f t="shared" si="53"/>
        <v>3611.8612470918965</v>
      </c>
      <c r="AH16" s="12">
        <f t="shared" si="53"/>
        <v>3720.2170845046535</v>
      </c>
      <c r="AI16" s="12">
        <f t="shared" si="53"/>
        <v>3831.8235970397936</v>
      </c>
      <c r="AJ16" s="12">
        <f t="shared" si="53"/>
        <v>3946.7783049509871</v>
      </c>
      <c r="AK16" s="12">
        <f t="shared" si="53"/>
        <v>4065.1816540995173</v>
      </c>
      <c r="AL16" s="12">
        <f t="shared" si="53"/>
        <v>4187.1371037225026</v>
      </c>
      <c r="AM16" s="12">
        <f t="shared" si="53"/>
        <v>4312.7512168341782</v>
      </c>
      <c r="AN16" s="12">
        <f t="shared" si="53"/>
        <v>4442.1337533392034</v>
      </c>
      <c r="AO16" s="12">
        <f t="shared" si="53"/>
        <v>4575.3977659393804</v>
      </c>
      <c r="AP16" s="12">
        <f t="shared" si="53"/>
        <v>4712.6596989175614</v>
      </c>
      <c r="AQ16" s="12">
        <f t="shared" si="53"/>
        <v>4854.0394898850882</v>
      </c>
      <c r="AR16" s="12">
        <f t="shared" si="53"/>
        <v>4999.6606745816416</v>
      </c>
      <c r="AS16" s="12">
        <f t="shared" si="53"/>
        <v>5149.6504948190914</v>
      </c>
      <c r="AT16" s="12">
        <f t="shared" si="53"/>
        <v>5304.1400096636635</v>
      </c>
      <c r="AU16" s="12">
        <f t="shared" si="53"/>
        <v>5463.2642099535733</v>
      </c>
      <c r="AV16" s="12">
        <f t="shared" si="53"/>
        <v>5627.1621362521801</v>
      </c>
      <c r="AW16" s="12">
        <f t="shared" si="53"/>
        <v>5795.9770003397462</v>
      </c>
      <c r="AX16" s="12">
        <f t="shared" si="53"/>
        <v>5969.8563103499382</v>
      </c>
      <c r="AY16" s="12">
        <f t="shared" si="53"/>
        <v>6148.9519996604358</v>
      </c>
    </row>
    <row r="17" spans="2:51" x14ac:dyDescent="0.2">
      <c r="H17" s="9"/>
      <c r="I17" s="9"/>
      <c r="J17" s="9"/>
      <c r="K17" s="9"/>
      <c r="L17" s="9"/>
      <c r="M17" s="50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</row>
    <row r="18" spans="2:51" x14ac:dyDescent="0.2">
      <c r="B18" s="3"/>
      <c r="C18" s="3" t="s">
        <v>10</v>
      </c>
      <c r="H18" s="12">
        <f>SUM(H11:H17)</f>
        <v>33550</v>
      </c>
      <c r="I18" s="12">
        <f>SUM(I11:I17)</f>
        <v>35700</v>
      </c>
      <c r="J18" s="12">
        <f>SUM(J11:J17)</f>
        <v>37850</v>
      </c>
      <c r="K18" s="12">
        <f>SUM(K11:K17)</f>
        <v>40000</v>
      </c>
      <c r="L18" s="39">
        <f>SUM(L11:L17)</f>
        <v>42150</v>
      </c>
      <c r="M18" s="51">
        <f t="shared" ref="M18:AY18" si="54">SUM(M11:M17)</f>
        <v>27799.5</v>
      </c>
      <c r="N18" s="12">
        <f t="shared" si="54"/>
        <v>27949.485000000001</v>
      </c>
      <c r="O18" s="12">
        <f t="shared" si="54"/>
        <v>28103.969550000002</v>
      </c>
      <c r="P18" s="12">
        <f t="shared" si="54"/>
        <v>28263.088636499997</v>
      </c>
      <c r="Q18" s="12">
        <f t="shared" si="54"/>
        <v>28426.981295594996</v>
      </c>
      <c r="R18" s="12">
        <f t="shared" si="54"/>
        <v>24995.790734462851</v>
      </c>
      <c r="S18" s="12">
        <f t="shared" si="54"/>
        <v>25169.664456496739</v>
      </c>
      <c r="T18" s="12">
        <f t="shared" si="54"/>
        <v>25348.754390191643</v>
      </c>
      <c r="U18" s="12">
        <f t="shared" si="54"/>
        <v>25533.217021897388</v>
      </c>
      <c r="V18" s="12">
        <f t="shared" si="54"/>
        <v>25723.213532554309</v>
      </c>
      <c r="W18" s="12">
        <f t="shared" si="54"/>
        <v>25918.909938530942</v>
      </c>
      <c r="X18" s="12">
        <f t="shared" si="54"/>
        <v>26120.477236686867</v>
      </c>
      <c r="Y18" s="12">
        <f t="shared" si="54"/>
        <v>26328.091553787472</v>
      </c>
      <c r="Z18" s="12">
        <f t="shared" si="54"/>
        <v>26541.934300401099</v>
      </c>
      <c r="AA18" s="12">
        <f t="shared" si="54"/>
        <v>26762.19232941313</v>
      </c>
      <c r="AB18" s="12">
        <f t="shared" si="54"/>
        <v>26989.058099295526</v>
      </c>
      <c r="AC18" s="12">
        <f t="shared" si="54"/>
        <v>27222.729842274392</v>
      </c>
      <c r="AD18" s="12">
        <f t="shared" si="54"/>
        <v>27463.411737542629</v>
      </c>
      <c r="AE18" s="12">
        <f t="shared" si="54"/>
        <v>27711.314089668904</v>
      </c>
      <c r="AF18" s="12">
        <f t="shared" si="54"/>
        <v>27966.653512358971</v>
      </c>
      <c r="AG18" s="12">
        <f t="shared" si="54"/>
        <v>28229.65311772974</v>
      </c>
      <c r="AH18" s="12">
        <f t="shared" si="54"/>
        <v>28500.542711261634</v>
      </c>
      <c r="AI18" s="12">
        <f t="shared" si="54"/>
        <v>28779.558992599486</v>
      </c>
      <c r="AJ18" s="12">
        <f t="shared" si="54"/>
        <v>29066.945762377472</v>
      </c>
      <c r="AK18" s="12">
        <f t="shared" si="54"/>
        <v>29362.954135248794</v>
      </c>
      <c r="AL18" s="12">
        <f t="shared" si="54"/>
        <v>11667.842759306255</v>
      </c>
      <c r="AM18" s="12">
        <f t="shared" si="54"/>
        <v>11981.878042085445</v>
      </c>
      <c r="AN18" s="12">
        <f t="shared" si="54"/>
        <v>12305.334383348008</v>
      </c>
      <c r="AO18" s="12">
        <f t="shared" si="54"/>
        <v>12638.49441484845</v>
      </c>
      <c r="AP18" s="12">
        <f t="shared" si="54"/>
        <v>12981.649247293904</v>
      </c>
      <c r="AQ18" s="12">
        <f t="shared" si="54"/>
        <v>13335.098724712721</v>
      </c>
      <c r="AR18" s="12">
        <f t="shared" si="54"/>
        <v>13699.151686454104</v>
      </c>
      <c r="AS18" s="12">
        <f t="shared" si="54"/>
        <v>14074.126237047727</v>
      </c>
      <c r="AT18" s="12">
        <f t="shared" si="54"/>
        <v>14460.350024159157</v>
      </c>
      <c r="AU18" s="12">
        <f t="shared" si="54"/>
        <v>14858.160524883933</v>
      </c>
      <c r="AV18" s="12">
        <f t="shared" si="54"/>
        <v>15267.90534063045</v>
      </c>
      <c r="AW18" s="12">
        <f t="shared" si="54"/>
        <v>15689.942500849365</v>
      </c>
      <c r="AX18" s="12">
        <f t="shared" si="54"/>
        <v>16124.640775874845</v>
      </c>
      <c r="AY18" s="12">
        <f t="shared" si="54"/>
        <v>16572.37999915109</v>
      </c>
    </row>
    <row r="19" spans="2:51" x14ac:dyDescent="0.2">
      <c r="H19" s="12"/>
      <c r="I19" s="12"/>
      <c r="J19" s="12"/>
      <c r="K19" s="12"/>
      <c r="L19" s="39"/>
      <c r="M19" s="51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</row>
    <row r="20" spans="2:51" x14ac:dyDescent="0.2">
      <c r="B20" s="1" t="s">
        <v>11</v>
      </c>
      <c r="C20" s="1"/>
      <c r="D20" s="1"/>
      <c r="E20" s="1"/>
      <c r="F20" s="1"/>
      <c r="G20" s="1"/>
      <c r="H20" s="13">
        <f>H8-H18</f>
        <v>16450</v>
      </c>
      <c r="I20" s="13">
        <f>I8-I18</f>
        <v>24300</v>
      </c>
      <c r="J20" s="13">
        <f>J8-J18</f>
        <v>32150</v>
      </c>
      <c r="K20" s="13">
        <f>K8-K18</f>
        <v>40000</v>
      </c>
      <c r="L20" s="41">
        <f>L8-L18</f>
        <v>47850</v>
      </c>
      <c r="M20" s="52">
        <f t="shared" ref="M20:AY20" si="55">M8-M18</f>
        <v>72190.5</v>
      </c>
      <c r="N20" s="13">
        <f t="shared" si="55"/>
        <v>75040.214999999997</v>
      </c>
      <c r="O20" s="13">
        <f t="shared" si="55"/>
        <v>77975.421449999994</v>
      </c>
      <c r="P20" s="13">
        <f t="shared" si="55"/>
        <v>80998.684093500022</v>
      </c>
      <c r="Q20" s="13">
        <f t="shared" si="55"/>
        <v>84112.644616305013</v>
      </c>
      <c r="R20" s="13">
        <f t="shared" si="55"/>
        <v>90920.023954794175</v>
      </c>
      <c r="S20" s="13">
        <f t="shared" si="55"/>
        <v>94223.624673437997</v>
      </c>
      <c r="T20" s="13">
        <f t="shared" si="55"/>
        <v>97626.333413641143</v>
      </c>
      <c r="U20" s="13">
        <f t="shared" si="55"/>
        <v>101131.12341605038</v>
      </c>
      <c r="V20" s="13">
        <f t="shared" si="55"/>
        <v>104741.0571185319</v>
      </c>
      <c r="W20" s="13">
        <f t="shared" si="55"/>
        <v>108459.28883208786</v>
      </c>
      <c r="X20" s="13">
        <f t="shared" si="55"/>
        <v>112289.06749705049</v>
      </c>
      <c r="Y20" s="13">
        <f t="shared" si="55"/>
        <v>116233.73952196201</v>
      </c>
      <c r="Z20" s="13">
        <f t="shared" si="55"/>
        <v>120296.75170762086</v>
      </c>
      <c r="AA20" s="13">
        <f t="shared" si="55"/>
        <v>124481.65425884949</v>
      </c>
      <c r="AB20" s="13">
        <f t="shared" si="55"/>
        <v>128792.10388661498</v>
      </c>
      <c r="AC20" s="13">
        <f t="shared" si="55"/>
        <v>133231.86700321344</v>
      </c>
      <c r="AD20" s="13">
        <f t="shared" si="55"/>
        <v>137804.82301330986</v>
      </c>
      <c r="AE20" s="13">
        <f t="shared" si="55"/>
        <v>142514.96770370915</v>
      </c>
      <c r="AF20" s="13">
        <f t="shared" si="55"/>
        <v>147366.41673482046</v>
      </c>
      <c r="AG20" s="13">
        <f t="shared" si="55"/>
        <v>152363.40923686509</v>
      </c>
      <c r="AH20" s="13">
        <f t="shared" si="55"/>
        <v>157510.31151397104</v>
      </c>
      <c r="AI20" s="13">
        <f t="shared" si="55"/>
        <v>162811.62085939018</v>
      </c>
      <c r="AJ20" s="13">
        <f t="shared" si="55"/>
        <v>168271.9694851719</v>
      </c>
      <c r="AK20" s="13">
        <f t="shared" si="55"/>
        <v>173896.12856972707</v>
      </c>
      <c r="AL20" s="13">
        <f t="shared" si="55"/>
        <v>197689.0124268189</v>
      </c>
      <c r="AM20" s="13">
        <f t="shared" si="55"/>
        <v>203655.68279962346</v>
      </c>
      <c r="AN20" s="13">
        <f t="shared" si="55"/>
        <v>209801.35328361217</v>
      </c>
      <c r="AO20" s="13">
        <f t="shared" si="55"/>
        <v>216131.39388212055</v>
      </c>
      <c r="AP20" s="13">
        <f t="shared" si="55"/>
        <v>222651.33569858415</v>
      </c>
      <c r="AQ20" s="13">
        <f t="shared" si="55"/>
        <v>229366.87576954169</v>
      </c>
      <c r="AR20" s="13">
        <f t="shared" si="55"/>
        <v>236283.88204262796</v>
      </c>
      <c r="AS20" s="13">
        <f t="shared" si="55"/>
        <v>243408.39850390682</v>
      </c>
      <c r="AT20" s="13">
        <f t="shared" si="55"/>
        <v>250746.65045902404</v>
      </c>
      <c r="AU20" s="13">
        <f t="shared" si="55"/>
        <v>258305.04997279472</v>
      </c>
      <c r="AV20" s="13">
        <f t="shared" si="55"/>
        <v>266090.20147197857</v>
      </c>
      <c r="AW20" s="13">
        <f t="shared" si="55"/>
        <v>274108.90751613793</v>
      </c>
      <c r="AX20" s="13">
        <f t="shared" si="55"/>
        <v>282368.17474162206</v>
      </c>
      <c r="AY20" s="13">
        <f t="shared" si="55"/>
        <v>290875.21998387069</v>
      </c>
    </row>
    <row r="21" spans="2:51" x14ac:dyDescent="0.2">
      <c r="H21" s="12"/>
      <c r="I21" s="12"/>
      <c r="J21" s="12"/>
      <c r="K21" s="12"/>
      <c r="L21" s="39"/>
      <c r="M21" s="51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</row>
    <row r="22" spans="2:51" x14ac:dyDescent="0.2">
      <c r="B22" s="2" t="s">
        <v>0</v>
      </c>
      <c r="H22" s="10">
        <f>28%*H6</f>
        <v>14000.000000000002</v>
      </c>
      <c r="I22" s="10">
        <f t="shared" ref="I22:L22" si="56">28%*I6</f>
        <v>16800</v>
      </c>
      <c r="J22" s="10">
        <f t="shared" si="56"/>
        <v>19600.000000000004</v>
      </c>
      <c r="K22" s="10">
        <f t="shared" si="56"/>
        <v>22400.000000000004</v>
      </c>
      <c r="L22" s="40">
        <f t="shared" si="56"/>
        <v>25200.000000000004</v>
      </c>
      <c r="M22" s="51">
        <f>M6*M38</f>
        <v>999.9</v>
      </c>
      <c r="N22" s="12">
        <f t="shared" ref="N22:AY22" si="57">N6*N38</f>
        <v>1029.8969999999999</v>
      </c>
      <c r="O22" s="12">
        <f t="shared" si="57"/>
        <v>1060.7939100000001</v>
      </c>
      <c r="P22" s="12">
        <f t="shared" si="57"/>
        <v>1092.6177273000001</v>
      </c>
      <c r="Q22" s="12">
        <f t="shared" si="57"/>
        <v>1125.3962591190002</v>
      </c>
      <c r="R22" s="12">
        <f t="shared" si="57"/>
        <v>1159.1581468925704</v>
      </c>
      <c r="S22" s="12">
        <f t="shared" si="57"/>
        <v>1193.9328912993474</v>
      </c>
      <c r="T22" s="12">
        <f t="shared" si="57"/>
        <v>1229.7508780383278</v>
      </c>
      <c r="U22" s="12">
        <f t="shared" si="57"/>
        <v>1266.6434043794777</v>
      </c>
      <c r="V22" s="12">
        <f t="shared" si="57"/>
        <v>1304.6427065108621</v>
      </c>
      <c r="W22" s="12">
        <f t="shared" si="57"/>
        <v>1343.7819877061879</v>
      </c>
      <c r="X22" s="12">
        <f t="shared" si="57"/>
        <v>1384.0954473373736</v>
      </c>
      <c r="Y22" s="12">
        <f t="shared" si="57"/>
        <v>1425.6183107574948</v>
      </c>
      <c r="Z22" s="12">
        <f t="shared" si="57"/>
        <v>1468.3868600802195</v>
      </c>
      <c r="AA22" s="12">
        <f t="shared" si="57"/>
        <v>1512.4384658826261</v>
      </c>
      <c r="AB22" s="12">
        <f t="shared" si="57"/>
        <v>1557.8116198591051</v>
      </c>
      <c r="AC22" s="12">
        <f t="shared" si="57"/>
        <v>1604.5459684548784</v>
      </c>
      <c r="AD22" s="12">
        <f t="shared" si="57"/>
        <v>1652.6823475085248</v>
      </c>
      <c r="AE22" s="12">
        <f t="shared" si="57"/>
        <v>1702.2628179337808</v>
      </c>
      <c r="AF22" s="12">
        <f t="shared" si="57"/>
        <v>1753.3307024717942</v>
      </c>
      <c r="AG22" s="12">
        <f t="shared" si="57"/>
        <v>1805.9306235459483</v>
      </c>
      <c r="AH22" s="12">
        <f t="shared" si="57"/>
        <v>1860.1085422523267</v>
      </c>
      <c r="AI22" s="12">
        <f t="shared" si="57"/>
        <v>1915.9117985198968</v>
      </c>
      <c r="AJ22" s="12">
        <f t="shared" si="57"/>
        <v>1973.3891524754936</v>
      </c>
      <c r="AK22" s="12">
        <f t="shared" si="57"/>
        <v>2032.5908270497587</v>
      </c>
      <c r="AL22" s="12">
        <f t="shared" si="57"/>
        <v>2093.5685518612513</v>
      </c>
      <c r="AM22" s="12">
        <f t="shared" si="57"/>
        <v>2156.3756084170891</v>
      </c>
      <c r="AN22" s="12">
        <f t="shared" si="57"/>
        <v>2221.0668766696017</v>
      </c>
      <c r="AO22" s="12">
        <f t="shared" si="57"/>
        <v>2287.6988829696902</v>
      </c>
      <c r="AP22" s="12">
        <f t="shared" si="57"/>
        <v>2356.3298494587807</v>
      </c>
      <c r="AQ22" s="12">
        <f t="shared" si="57"/>
        <v>2427.0197449425441</v>
      </c>
      <c r="AR22" s="12">
        <f t="shared" si="57"/>
        <v>2499.8303372908208</v>
      </c>
      <c r="AS22" s="12">
        <f t="shared" si="57"/>
        <v>2574.8252474095457</v>
      </c>
      <c r="AT22" s="12">
        <f t="shared" si="57"/>
        <v>2652.0700048318317</v>
      </c>
      <c r="AU22" s="12">
        <f t="shared" si="57"/>
        <v>2731.6321049767866</v>
      </c>
      <c r="AV22" s="12">
        <f t="shared" si="57"/>
        <v>2813.58106812609</v>
      </c>
      <c r="AW22" s="12">
        <f t="shared" si="57"/>
        <v>2897.9885001698731</v>
      </c>
      <c r="AX22" s="12">
        <f t="shared" si="57"/>
        <v>2984.9281551749691</v>
      </c>
      <c r="AY22" s="12">
        <f t="shared" si="57"/>
        <v>3074.4759998302179</v>
      </c>
    </row>
    <row r="23" spans="2:51" x14ac:dyDescent="0.2">
      <c r="H23" s="12"/>
      <c r="I23" s="12"/>
      <c r="J23" s="12"/>
      <c r="K23" s="12"/>
      <c r="L23" s="39"/>
      <c r="M23" s="51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</row>
    <row r="24" spans="2:51" x14ac:dyDescent="0.2">
      <c r="B24" s="1" t="s">
        <v>3</v>
      </c>
      <c r="C24" s="1"/>
      <c r="D24" s="1"/>
      <c r="E24" s="1"/>
      <c r="F24" s="1"/>
      <c r="G24" s="1"/>
      <c r="H24" s="25">
        <f>H20-H22</f>
        <v>2449.9999999999982</v>
      </c>
      <c r="I24" s="25">
        <f t="shared" ref="I24:L24" si="58">I20-I22</f>
        <v>7500</v>
      </c>
      <c r="J24" s="25">
        <f t="shared" si="58"/>
        <v>12549.999999999996</v>
      </c>
      <c r="K24" s="25">
        <f t="shared" si="58"/>
        <v>17599.999999999996</v>
      </c>
      <c r="L24" s="42">
        <f t="shared" si="58"/>
        <v>22649.999999999996</v>
      </c>
      <c r="M24" s="52">
        <f>M20-M22</f>
        <v>71190.600000000006</v>
      </c>
      <c r="N24" s="13">
        <f t="shared" ref="N24:AY24" si="59">N20-N22</f>
        <v>74010.317999999999</v>
      </c>
      <c r="O24" s="13">
        <f t="shared" si="59"/>
        <v>76914.627540000001</v>
      </c>
      <c r="P24" s="13">
        <f t="shared" si="59"/>
        <v>79906.066366200015</v>
      </c>
      <c r="Q24" s="13">
        <f t="shared" si="59"/>
        <v>82987.248357186007</v>
      </c>
      <c r="R24" s="13">
        <f t="shared" si="59"/>
        <v>89760.865807901602</v>
      </c>
      <c r="S24" s="13">
        <f t="shared" si="59"/>
        <v>93029.691782138645</v>
      </c>
      <c r="T24" s="13">
        <f t="shared" si="59"/>
        <v>96396.582535602822</v>
      </c>
      <c r="U24" s="13">
        <f t="shared" si="59"/>
        <v>99864.480011670908</v>
      </c>
      <c r="V24" s="13">
        <f t="shared" si="59"/>
        <v>103436.41441202104</v>
      </c>
      <c r="W24" s="13">
        <f t="shared" si="59"/>
        <v>107115.50684438167</v>
      </c>
      <c r="X24" s="13">
        <f t="shared" si="59"/>
        <v>110904.97204971312</v>
      </c>
      <c r="Y24" s="13">
        <f t="shared" si="59"/>
        <v>114808.12121120452</v>
      </c>
      <c r="Z24" s="13">
        <f t="shared" si="59"/>
        <v>118828.36484754064</v>
      </c>
      <c r="AA24" s="13">
        <f t="shared" si="59"/>
        <v>122969.21579296686</v>
      </c>
      <c r="AB24" s="13">
        <f t="shared" si="59"/>
        <v>127234.29226675587</v>
      </c>
      <c r="AC24" s="13">
        <f t="shared" si="59"/>
        <v>131627.32103475856</v>
      </c>
      <c r="AD24" s="13">
        <f t="shared" si="59"/>
        <v>136152.14066580133</v>
      </c>
      <c r="AE24" s="13">
        <f t="shared" si="59"/>
        <v>140812.70488577537</v>
      </c>
      <c r="AF24" s="13">
        <f t="shared" si="59"/>
        <v>145613.08603234868</v>
      </c>
      <c r="AG24" s="13">
        <f t="shared" si="59"/>
        <v>150557.47861331914</v>
      </c>
      <c r="AH24" s="13">
        <f t="shared" si="59"/>
        <v>155650.20297171871</v>
      </c>
      <c r="AI24" s="13">
        <f t="shared" si="59"/>
        <v>160895.70906087029</v>
      </c>
      <c r="AJ24" s="13">
        <f t="shared" si="59"/>
        <v>166298.58033269641</v>
      </c>
      <c r="AK24" s="13">
        <f t="shared" si="59"/>
        <v>171863.53774267732</v>
      </c>
      <c r="AL24" s="13">
        <f t="shared" si="59"/>
        <v>195595.44387495765</v>
      </c>
      <c r="AM24" s="13">
        <f t="shared" si="59"/>
        <v>201499.30719120638</v>
      </c>
      <c r="AN24" s="13">
        <f t="shared" si="59"/>
        <v>207580.28640694259</v>
      </c>
      <c r="AO24" s="13">
        <f t="shared" si="59"/>
        <v>213843.69499915087</v>
      </c>
      <c r="AP24" s="13">
        <f t="shared" si="59"/>
        <v>220295.00584912536</v>
      </c>
      <c r="AQ24" s="13">
        <f t="shared" si="59"/>
        <v>226939.85602459914</v>
      </c>
      <c r="AR24" s="13">
        <f t="shared" si="59"/>
        <v>233784.05170533713</v>
      </c>
      <c r="AS24" s="13">
        <f t="shared" si="59"/>
        <v>240833.57325649727</v>
      </c>
      <c r="AT24" s="13">
        <f t="shared" si="59"/>
        <v>248094.58045419221</v>
      </c>
      <c r="AU24" s="13">
        <f t="shared" si="59"/>
        <v>255573.41786781792</v>
      </c>
      <c r="AV24" s="13">
        <f t="shared" si="59"/>
        <v>263276.62040385249</v>
      </c>
      <c r="AW24" s="13">
        <f t="shared" si="59"/>
        <v>271210.91901596804</v>
      </c>
      <c r="AX24" s="13">
        <f t="shared" si="59"/>
        <v>279383.24658644712</v>
      </c>
      <c r="AY24" s="13">
        <f t="shared" si="59"/>
        <v>287800.74398404045</v>
      </c>
    </row>
    <row r="25" spans="2:51" x14ac:dyDescent="0.2">
      <c r="L25" s="41"/>
    </row>
    <row r="26" spans="2:51" x14ac:dyDescent="0.2">
      <c r="B26" s="2" t="s">
        <v>28</v>
      </c>
      <c r="H26" s="8">
        <f>0+H24</f>
        <v>2449.9999999999982</v>
      </c>
      <c r="I26" s="8">
        <f>H26*(1+1%)+I24</f>
        <v>9974.4999999999982</v>
      </c>
      <c r="J26" s="8">
        <f t="shared" ref="J26:L26" si="60">I26*(1+1%)+J24</f>
        <v>22624.244999999995</v>
      </c>
      <c r="K26" s="8">
        <f t="shared" si="60"/>
        <v>40450.487449999993</v>
      </c>
      <c r="L26" s="43">
        <f t="shared" si="60"/>
        <v>63504.992324499995</v>
      </c>
      <c r="M26" s="53">
        <f>L26*(1+M39)+M24</f>
        <v>135330.64224774501</v>
      </c>
      <c r="N26" s="8">
        <f t="shared" ref="N26:AY26" si="61">M26*(1+N39)+N24</f>
        <v>210694.26667022245</v>
      </c>
      <c r="O26" s="8">
        <f t="shared" si="61"/>
        <v>289715.83687692467</v>
      </c>
      <c r="P26" s="8">
        <f t="shared" si="61"/>
        <v>372519.06161189394</v>
      </c>
      <c r="Q26" s="8">
        <f t="shared" si="61"/>
        <v>459231.50058519887</v>
      </c>
      <c r="R26" s="8">
        <f t="shared" si="61"/>
        <v>553584.68139895238</v>
      </c>
      <c r="S26" s="8">
        <f t="shared" si="61"/>
        <v>652150.21999508061</v>
      </c>
      <c r="T26" s="8">
        <f t="shared" si="61"/>
        <v>755068.30473063432</v>
      </c>
      <c r="U26" s="8">
        <f t="shared" si="61"/>
        <v>862483.46778961155</v>
      </c>
      <c r="V26" s="8">
        <f t="shared" si="61"/>
        <v>974544.71687952871</v>
      </c>
      <c r="W26" s="8">
        <f t="shared" si="61"/>
        <v>1091405.6708927057</v>
      </c>
      <c r="X26" s="8">
        <f t="shared" si="61"/>
        <v>1213224.6996513458</v>
      </c>
      <c r="Y26" s="8">
        <f t="shared" si="61"/>
        <v>1340165.0678590639</v>
      </c>
      <c r="Z26" s="8">
        <f t="shared" si="61"/>
        <v>1472395.0833851951</v>
      </c>
      <c r="AA26" s="8">
        <f t="shared" si="61"/>
        <v>1610088.2500120138</v>
      </c>
      <c r="AB26" s="8">
        <f t="shared" si="61"/>
        <v>1753423.4247788899</v>
      </c>
      <c r="AC26" s="8">
        <f t="shared" si="61"/>
        <v>1902584.9800614375</v>
      </c>
      <c r="AD26" s="8">
        <f t="shared" si="61"/>
        <v>2057762.9705278531</v>
      </c>
      <c r="AE26" s="8">
        <f t="shared" si="61"/>
        <v>2219153.3051189068</v>
      </c>
      <c r="AF26" s="8">
        <f t="shared" si="61"/>
        <v>2386957.9242024445</v>
      </c>
      <c r="AG26" s="8">
        <f t="shared" si="61"/>
        <v>2561384.9820577884</v>
      </c>
      <c r="AH26" s="8">
        <f t="shared" si="61"/>
        <v>2742649.0348500852</v>
      </c>
      <c r="AI26" s="8">
        <f t="shared" si="61"/>
        <v>2930971.2342594559</v>
      </c>
      <c r="AJ26" s="8">
        <f t="shared" si="61"/>
        <v>3126579.5269347471</v>
      </c>
      <c r="AK26" s="8">
        <f t="shared" si="61"/>
        <v>3329708.859946772</v>
      </c>
      <c r="AL26" s="8">
        <f t="shared" si="61"/>
        <v>3558601.3924211971</v>
      </c>
      <c r="AM26" s="8">
        <f t="shared" si="61"/>
        <v>3795686.7135366155</v>
      </c>
      <c r="AN26" s="8">
        <f t="shared" si="61"/>
        <v>4041223.8670789241</v>
      </c>
      <c r="AO26" s="8">
        <f t="shared" si="61"/>
        <v>4295479.8007488642</v>
      </c>
      <c r="AP26" s="8">
        <f t="shared" si="61"/>
        <v>4558729.6046054782</v>
      </c>
      <c r="AQ26" s="8">
        <f t="shared" si="61"/>
        <v>4831256.7566761319</v>
      </c>
      <c r="AR26" s="8">
        <f t="shared" si="61"/>
        <v>5113353.3759482307</v>
      </c>
      <c r="AS26" s="8">
        <f t="shared" si="61"/>
        <v>5405320.4829642102</v>
      </c>
      <c r="AT26" s="8">
        <f t="shared" si="61"/>
        <v>5707468.2682480449</v>
      </c>
      <c r="AU26" s="8">
        <f t="shared" si="61"/>
        <v>6020116.3687983435</v>
      </c>
      <c r="AV26" s="8">
        <f t="shared" si="61"/>
        <v>6343594.1528901793</v>
      </c>
      <c r="AW26" s="8">
        <f t="shared" si="61"/>
        <v>6678241.013435049</v>
      </c>
      <c r="AX26" s="8">
        <f t="shared" si="61"/>
        <v>7024406.6701558474</v>
      </c>
      <c r="AY26" s="31">
        <f t="shared" si="61"/>
        <v>7382451.4808414467</v>
      </c>
    </row>
    <row r="29" spans="2:51" x14ac:dyDescent="0.2">
      <c r="B29" s="5" t="s">
        <v>12</v>
      </c>
    </row>
    <row r="31" spans="2:51" x14ac:dyDescent="0.2">
      <c r="C31" s="2" t="s">
        <v>19</v>
      </c>
      <c r="H31" s="26"/>
      <c r="I31" s="11">
        <f>I6/H6-1</f>
        <v>0.19999999999999996</v>
      </c>
      <c r="J31" s="11">
        <f t="shared" ref="J31:L31" si="62">J6/I6-1</f>
        <v>0.16666666666666674</v>
      </c>
      <c r="K31" s="11">
        <f t="shared" si="62"/>
        <v>0.14285714285714279</v>
      </c>
      <c r="L31" s="44">
        <f t="shared" si="62"/>
        <v>0.125</v>
      </c>
      <c r="M31" s="54">
        <v>0.111</v>
      </c>
      <c r="N31" s="29">
        <v>0.03</v>
      </c>
      <c r="O31" s="30">
        <f>N31</f>
        <v>0.03</v>
      </c>
      <c r="P31" s="30">
        <f t="shared" ref="P31:AY31" si="63">O31</f>
        <v>0.03</v>
      </c>
      <c r="Q31" s="30">
        <f t="shared" si="63"/>
        <v>0.03</v>
      </c>
      <c r="R31" s="30">
        <f t="shared" si="63"/>
        <v>0.03</v>
      </c>
      <c r="S31" s="30">
        <f t="shared" si="63"/>
        <v>0.03</v>
      </c>
      <c r="T31" s="30">
        <f t="shared" si="63"/>
        <v>0.03</v>
      </c>
      <c r="U31" s="30">
        <f t="shared" si="63"/>
        <v>0.03</v>
      </c>
      <c r="V31" s="30">
        <f t="shared" si="63"/>
        <v>0.03</v>
      </c>
      <c r="W31" s="30">
        <f t="shared" si="63"/>
        <v>0.03</v>
      </c>
      <c r="X31" s="30">
        <f t="shared" si="63"/>
        <v>0.03</v>
      </c>
      <c r="Y31" s="30">
        <f t="shared" si="63"/>
        <v>0.03</v>
      </c>
      <c r="Z31" s="30">
        <f t="shared" si="63"/>
        <v>0.03</v>
      </c>
      <c r="AA31" s="30">
        <f t="shared" si="63"/>
        <v>0.03</v>
      </c>
      <c r="AB31" s="30">
        <f t="shared" si="63"/>
        <v>0.03</v>
      </c>
      <c r="AC31" s="30">
        <f t="shared" si="63"/>
        <v>0.03</v>
      </c>
      <c r="AD31" s="30">
        <f t="shared" si="63"/>
        <v>0.03</v>
      </c>
      <c r="AE31" s="30">
        <f t="shared" si="63"/>
        <v>0.03</v>
      </c>
      <c r="AF31" s="30">
        <f t="shared" si="63"/>
        <v>0.03</v>
      </c>
      <c r="AG31" s="30">
        <f t="shared" si="63"/>
        <v>0.03</v>
      </c>
      <c r="AH31" s="30">
        <f t="shared" si="63"/>
        <v>0.03</v>
      </c>
      <c r="AI31" s="30">
        <f t="shared" si="63"/>
        <v>0.03</v>
      </c>
      <c r="AJ31" s="30">
        <f t="shared" si="63"/>
        <v>0.03</v>
      </c>
      <c r="AK31" s="30">
        <f t="shared" si="63"/>
        <v>0.03</v>
      </c>
      <c r="AL31" s="30">
        <f t="shared" si="63"/>
        <v>0.03</v>
      </c>
      <c r="AM31" s="30">
        <f t="shared" si="63"/>
        <v>0.03</v>
      </c>
      <c r="AN31" s="30">
        <f t="shared" si="63"/>
        <v>0.03</v>
      </c>
      <c r="AO31" s="30">
        <f t="shared" si="63"/>
        <v>0.03</v>
      </c>
      <c r="AP31" s="30">
        <f t="shared" si="63"/>
        <v>0.03</v>
      </c>
      <c r="AQ31" s="30">
        <f t="shared" si="63"/>
        <v>0.03</v>
      </c>
      <c r="AR31" s="30">
        <f t="shared" si="63"/>
        <v>0.03</v>
      </c>
      <c r="AS31" s="30">
        <f t="shared" si="63"/>
        <v>0.03</v>
      </c>
      <c r="AT31" s="30">
        <f t="shared" si="63"/>
        <v>0.03</v>
      </c>
      <c r="AU31" s="30">
        <f t="shared" si="63"/>
        <v>0.03</v>
      </c>
      <c r="AV31" s="30">
        <f t="shared" si="63"/>
        <v>0.03</v>
      </c>
      <c r="AW31" s="30">
        <f t="shared" si="63"/>
        <v>0.03</v>
      </c>
      <c r="AX31" s="30">
        <f t="shared" si="63"/>
        <v>0.03</v>
      </c>
      <c r="AY31" s="30">
        <f t="shared" si="63"/>
        <v>0.03</v>
      </c>
    </row>
    <row r="32" spans="2:51" x14ac:dyDescent="0.2">
      <c r="C32" s="2" t="s">
        <v>21</v>
      </c>
      <c r="H32" s="11">
        <f>H11/H$6</f>
        <v>0.36</v>
      </c>
      <c r="I32" s="11">
        <f t="shared" ref="I32:L32" si="64">I11/I6</f>
        <v>0.3</v>
      </c>
      <c r="J32" s="11">
        <f t="shared" si="64"/>
        <v>0.25714285714285712</v>
      </c>
      <c r="K32" s="11">
        <f t="shared" si="64"/>
        <v>0.22500000000000001</v>
      </c>
      <c r="L32" s="44">
        <f t="shared" si="64"/>
        <v>0.2</v>
      </c>
      <c r="M32" s="45" t="s">
        <v>29</v>
      </c>
    </row>
    <row r="33" spans="3:51" x14ac:dyDescent="0.2">
      <c r="C33" s="2" t="s">
        <v>20</v>
      </c>
      <c r="H33" s="11">
        <f>H12/H$6</f>
        <v>7.1999999999999995E-2</v>
      </c>
      <c r="I33" s="11">
        <f t="shared" ref="I33:L33" si="65">I12/I$6</f>
        <v>0.06</v>
      </c>
      <c r="J33" s="11">
        <f t="shared" si="65"/>
        <v>5.1428571428571428E-2</v>
      </c>
      <c r="K33" s="11">
        <f t="shared" si="65"/>
        <v>4.4999999999999998E-2</v>
      </c>
      <c r="L33" s="44">
        <f t="shared" si="65"/>
        <v>0.04</v>
      </c>
      <c r="M33" s="45" t="s">
        <v>29</v>
      </c>
    </row>
    <row r="34" spans="3:51" x14ac:dyDescent="0.2">
      <c r="C34" s="2" t="s">
        <v>22</v>
      </c>
      <c r="H34" s="11">
        <f t="shared" ref="H34:L34" si="66">H13/H$6</f>
        <v>5.0000000000000001E-3</v>
      </c>
      <c r="I34" s="11">
        <f t="shared" si="66"/>
        <v>5.0000000000000001E-3</v>
      </c>
      <c r="J34" s="11">
        <f t="shared" si="66"/>
        <v>5.0000000000000001E-3</v>
      </c>
      <c r="K34" s="11">
        <f t="shared" si="66"/>
        <v>5.0000000000000001E-3</v>
      </c>
      <c r="L34" s="44">
        <f t="shared" si="66"/>
        <v>5.0000000000000001E-3</v>
      </c>
      <c r="M34" s="54">
        <v>0.02</v>
      </c>
      <c r="N34" s="28">
        <f>M34</f>
        <v>0.02</v>
      </c>
      <c r="O34" s="28">
        <f t="shared" ref="O34:AY34" si="67">N34</f>
        <v>0.02</v>
      </c>
      <c r="P34" s="28">
        <f t="shared" si="67"/>
        <v>0.02</v>
      </c>
      <c r="Q34" s="28">
        <f t="shared" si="67"/>
        <v>0.02</v>
      </c>
      <c r="R34" s="28">
        <f t="shared" si="67"/>
        <v>0.02</v>
      </c>
      <c r="S34" s="28">
        <f t="shared" si="67"/>
        <v>0.02</v>
      </c>
      <c r="T34" s="28">
        <f t="shared" si="67"/>
        <v>0.02</v>
      </c>
      <c r="U34" s="28">
        <f t="shared" si="67"/>
        <v>0.02</v>
      </c>
      <c r="V34" s="28">
        <f t="shared" si="67"/>
        <v>0.02</v>
      </c>
      <c r="W34" s="28">
        <f t="shared" si="67"/>
        <v>0.02</v>
      </c>
      <c r="X34" s="28">
        <f t="shared" si="67"/>
        <v>0.02</v>
      </c>
      <c r="Y34" s="28">
        <f t="shared" si="67"/>
        <v>0.02</v>
      </c>
      <c r="Z34" s="28">
        <f t="shared" si="67"/>
        <v>0.02</v>
      </c>
      <c r="AA34" s="28">
        <f t="shared" si="67"/>
        <v>0.02</v>
      </c>
      <c r="AB34" s="28">
        <f t="shared" si="67"/>
        <v>0.02</v>
      </c>
      <c r="AC34" s="28">
        <f t="shared" si="67"/>
        <v>0.02</v>
      </c>
      <c r="AD34" s="28">
        <f t="shared" si="67"/>
        <v>0.02</v>
      </c>
      <c r="AE34" s="28">
        <f t="shared" si="67"/>
        <v>0.02</v>
      </c>
      <c r="AF34" s="28">
        <f t="shared" si="67"/>
        <v>0.02</v>
      </c>
      <c r="AG34" s="28">
        <f t="shared" si="67"/>
        <v>0.02</v>
      </c>
      <c r="AH34" s="28">
        <f t="shared" si="67"/>
        <v>0.02</v>
      </c>
      <c r="AI34" s="28">
        <f t="shared" si="67"/>
        <v>0.02</v>
      </c>
      <c r="AJ34" s="28">
        <f t="shared" si="67"/>
        <v>0.02</v>
      </c>
      <c r="AK34" s="28">
        <f t="shared" si="67"/>
        <v>0.02</v>
      </c>
      <c r="AL34" s="28">
        <f t="shared" si="67"/>
        <v>0.02</v>
      </c>
      <c r="AM34" s="28">
        <f t="shared" si="67"/>
        <v>0.02</v>
      </c>
      <c r="AN34" s="28">
        <f t="shared" si="67"/>
        <v>0.02</v>
      </c>
      <c r="AO34" s="28">
        <f t="shared" si="67"/>
        <v>0.02</v>
      </c>
      <c r="AP34" s="28">
        <f t="shared" si="67"/>
        <v>0.02</v>
      </c>
      <c r="AQ34" s="28">
        <f t="shared" si="67"/>
        <v>0.02</v>
      </c>
      <c r="AR34" s="28">
        <f t="shared" si="67"/>
        <v>0.02</v>
      </c>
      <c r="AS34" s="28">
        <f t="shared" si="67"/>
        <v>0.02</v>
      </c>
      <c r="AT34" s="28">
        <f t="shared" si="67"/>
        <v>0.02</v>
      </c>
      <c r="AU34" s="28">
        <f t="shared" si="67"/>
        <v>0.02</v>
      </c>
      <c r="AV34" s="28">
        <f t="shared" si="67"/>
        <v>0.02</v>
      </c>
      <c r="AW34" s="28">
        <f t="shared" si="67"/>
        <v>0.02</v>
      </c>
      <c r="AX34" s="28">
        <f t="shared" si="67"/>
        <v>0.02</v>
      </c>
      <c r="AY34" s="28">
        <f t="shared" si="67"/>
        <v>0.02</v>
      </c>
    </row>
    <row r="35" spans="3:51" x14ac:dyDescent="0.2">
      <c r="C35" s="2" t="s">
        <v>23</v>
      </c>
      <c r="H35" s="11">
        <f t="shared" ref="H35:L35" si="68">H14/H$6</f>
        <v>0.09</v>
      </c>
      <c r="I35" s="11">
        <f t="shared" si="68"/>
        <v>0.09</v>
      </c>
      <c r="J35" s="11">
        <f t="shared" si="68"/>
        <v>0.09</v>
      </c>
      <c r="K35" s="11">
        <f t="shared" si="68"/>
        <v>0.09</v>
      </c>
      <c r="L35" s="44">
        <f t="shared" si="68"/>
        <v>0.09</v>
      </c>
      <c r="M35" s="54">
        <v>0.01</v>
      </c>
      <c r="N35" s="28">
        <f>M35</f>
        <v>0.01</v>
      </c>
      <c r="O35" s="28">
        <f t="shared" ref="O35:AY35" si="69">N35</f>
        <v>0.01</v>
      </c>
      <c r="P35" s="28">
        <f t="shared" si="69"/>
        <v>0.01</v>
      </c>
      <c r="Q35" s="28">
        <f t="shared" si="69"/>
        <v>0.01</v>
      </c>
      <c r="R35" s="28">
        <f t="shared" si="69"/>
        <v>0.01</v>
      </c>
      <c r="S35" s="28">
        <f t="shared" si="69"/>
        <v>0.01</v>
      </c>
      <c r="T35" s="28">
        <f t="shared" si="69"/>
        <v>0.01</v>
      </c>
      <c r="U35" s="28">
        <f t="shared" si="69"/>
        <v>0.01</v>
      </c>
      <c r="V35" s="28">
        <f t="shared" si="69"/>
        <v>0.01</v>
      </c>
      <c r="W35" s="28">
        <f t="shared" si="69"/>
        <v>0.01</v>
      </c>
      <c r="X35" s="28">
        <f t="shared" si="69"/>
        <v>0.01</v>
      </c>
      <c r="Y35" s="28">
        <f t="shared" si="69"/>
        <v>0.01</v>
      </c>
      <c r="Z35" s="28">
        <f t="shared" si="69"/>
        <v>0.01</v>
      </c>
      <c r="AA35" s="28">
        <f t="shared" si="69"/>
        <v>0.01</v>
      </c>
      <c r="AB35" s="28">
        <f t="shared" si="69"/>
        <v>0.01</v>
      </c>
      <c r="AC35" s="28">
        <f t="shared" si="69"/>
        <v>0.01</v>
      </c>
      <c r="AD35" s="28">
        <f t="shared" si="69"/>
        <v>0.01</v>
      </c>
      <c r="AE35" s="28">
        <f t="shared" si="69"/>
        <v>0.01</v>
      </c>
      <c r="AF35" s="28">
        <f t="shared" si="69"/>
        <v>0.01</v>
      </c>
      <c r="AG35" s="28">
        <f t="shared" si="69"/>
        <v>0.01</v>
      </c>
      <c r="AH35" s="28">
        <f t="shared" si="69"/>
        <v>0.01</v>
      </c>
      <c r="AI35" s="28">
        <f t="shared" si="69"/>
        <v>0.01</v>
      </c>
      <c r="AJ35" s="28">
        <f t="shared" si="69"/>
        <v>0.01</v>
      </c>
      <c r="AK35" s="28">
        <f t="shared" si="69"/>
        <v>0.01</v>
      </c>
      <c r="AL35" s="28">
        <f t="shared" si="69"/>
        <v>0.01</v>
      </c>
      <c r="AM35" s="28">
        <f t="shared" si="69"/>
        <v>0.01</v>
      </c>
      <c r="AN35" s="28">
        <f t="shared" si="69"/>
        <v>0.01</v>
      </c>
      <c r="AO35" s="28">
        <f t="shared" si="69"/>
        <v>0.01</v>
      </c>
      <c r="AP35" s="28">
        <f t="shared" si="69"/>
        <v>0.01</v>
      </c>
      <c r="AQ35" s="28">
        <f t="shared" si="69"/>
        <v>0.01</v>
      </c>
      <c r="AR35" s="28">
        <f t="shared" si="69"/>
        <v>0.01</v>
      </c>
      <c r="AS35" s="28">
        <f t="shared" si="69"/>
        <v>0.01</v>
      </c>
      <c r="AT35" s="28">
        <f t="shared" si="69"/>
        <v>0.01</v>
      </c>
      <c r="AU35" s="28">
        <f t="shared" si="69"/>
        <v>0.01</v>
      </c>
      <c r="AV35" s="28">
        <f t="shared" si="69"/>
        <v>0.01</v>
      </c>
      <c r="AW35" s="28">
        <f t="shared" si="69"/>
        <v>0.01</v>
      </c>
      <c r="AX35" s="28">
        <f t="shared" si="69"/>
        <v>0.01</v>
      </c>
      <c r="AY35" s="28">
        <f t="shared" si="69"/>
        <v>0.01</v>
      </c>
    </row>
    <row r="36" spans="3:51" x14ac:dyDescent="0.2">
      <c r="C36" s="2" t="s">
        <v>24</v>
      </c>
      <c r="H36" s="11">
        <f t="shared" ref="H36:L36" si="70">H15/H$6</f>
        <v>2.4E-2</v>
      </c>
      <c r="I36" s="11">
        <f t="shared" si="70"/>
        <v>0.02</v>
      </c>
      <c r="J36" s="11">
        <f t="shared" si="70"/>
        <v>1.7142857142857144E-2</v>
      </c>
      <c r="K36" s="11">
        <f t="shared" si="70"/>
        <v>1.4999999999999999E-2</v>
      </c>
      <c r="L36" s="44">
        <f t="shared" si="70"/>
        <v>1.3333333333333334E-2</v>
      </c>
      <c r="M36" s="45" t="s">
        <v>29</v>
      </c>
    </row>
    <row r="37" spans="3:51" x14ac:dyDescent="0.2">
      <c r="C37" s="2" t="s">
        <v>25</v>
      </c>
      <c r="H37" s="11">
        <f t="shared" ref="H37:L37" si="71">H16/H$6</f>
        <v>0.12</v>
      </c>
      <c r="I37" s="11">
        <f t="shared" si="71"/>
        <v>0.12</v>
      </c>
      <c r="J37" s="11">
        <f t="shared" si="71"/>
        <v>0.12</v>
      </c>
      <c r="K37" s="11">
        <f t="shared" si="71"/>
        <v>0.12</v>
      </c>
      <c r="L37" s="44">
        <f t="shared" si="71"/>
        <v>0.12</v>
      </c>
      <c r="M37" s="54">
        <v>0.02</v>
      </c>
      <c r="N37" s="28">
        <f>M37</f>
        <v>0.02</v>
      </c>
      <c r="O37" s="28">
        <f t="shared" ref="O37:AY37" si="72">N37</f>
        <v>0.02</v>
      </c>
      <c r="P37" s="28">
        <f t="shared" si="72"/>
        <v>0.02</v>
      </c>
      <c r="Q37" s="28">
        <f t="shared" si="72"/>
        <v>0.02</v>
      </c>
      <c r="R37" s="28">
        <f t="shared" si="72"/>
        <v>0.02</v>
      </c>
      <c r="S37" s="28">
        <f t="shared" si="72"/>
        <v>0.02</v>
      </c>
      <c r="T37" s="28">
        <f t="shared" si="72"/>
        <v>0.02</v>
      </c>
      <c r="U37" s="28">
        <f t="shared" si="72"/>
        <v>0.02</v>
      </c>
      <c r="V37" s="28">
        <f t="shared" si="72"/>
        <v>0.02</v>
      </c>
      <c r="W37" s="28">
        <f t="shared" si="72"/>
        <v>0.02</v>
      </c>
      <c r="X37" s="28">
        <f t="shared" si="72"/>
        <v>0.02</v>
      </c>
      <c r="Y37" s="28">
        <f t="shared" si="72"/>
        <v>0.02</v>
      </c>
      <c r="Z37" s="28">
        <f t="shared" si="72"/>
        <v>0.02</v>
      </c>
      <c r="AA37" s="28">
        <f t="shared" si="72"/>
        <v>0.02</v>
      </c>
      <c r="AB37" s="28">
        <f t="shared" si="72"/>
        <v>0.02</v>
      </c>
      <c r="AC37" s="28">
        <f t="shared" si="72"/>
        <v>0.02</v>
      </c>
      <c r="AD37" s="28">
        <f t="shared" si="72"/>
        <v>0.02</v>
      </c>
      <c r="AE37" s="28">
        <f t="shared" si="72"/>
        <v>0.02</v>
      </c>
      <c r="AF37" s="28">
        <f t="shared" si="72"/>
        <v>0.02</v>
      </c>
      <c r="AG37" s="28">
        <f t="shared" si="72"/>
        <v>0.02</v>
      </c>
      <c r="AH37" s="28">
        <f t="shared" si="72"/>
        <v>0.02</v>
      </c>
      <c r="AI37" s="28">
        <f t="shared" si="72"/>
        <v>0.02</v>
      </c>
      <c r="AJ37" s="28">
        <f t="shared" si="72"/>
        <v>0.02</v>
      </c>
      <c r="AK37" s="28">
        <f t="shared" si="72"/>
        <v>0.02</v>
      </c>
      <c r="AL37" s="28">
        <f t="shared" si="72"/>
        <v>0.02</v>
      </c>
      <c r="AM37" s="28">
        <f t="shared" si="72"/>
        <v>0.02</v>
      </c>
      <c r="AN37" s="28">
        <f t="shared" si="72"/>
        <v>0.02</v>
      </c>
      <c r="AO37" s="28">
        <f t="shared" si="72"/>
        <v>0.02</v>
      </c>
      <c r="AP37" s="28">
        <f t="shared" si="72"/>
        <v>0.02</v>
      </c>
      <c r="AQ37" s="28">
        <f t="shared" si="72"/>
        <v>0.02</v>
      </c>
      <c r="AR37" s="28">
        <f t="shared" si="72"/>
        <v>0.02</v>
      </c>
      <c r="AS37" s="28">
        <f t="shared" si="72"/>
        <v>0.02</v>
      </c>
      <c r="AT37" s="28">
        <f t="shared" si="72"/>
        <v>0.02</v>
      </c>
      <c r="AU37" s="28">
        <f t="shared" si="72"/>
        <v>0.02</v>
      </c>
      <c r="AV37" s="28">
        <f t="shared" si="72"/>
        <v>0.02</v>
      </c>
      <c r="AW37" s="28">
        <f t="shared" si="72"/>
        <v>0.02</v>
      </c>
      <c r="AX37" s="28">
        <f t="shared" si="72"/>
        <v>0.02</v>
      </c>
      <c r="AY37" s="28">
        <f t="shared" si="72"/>
        <v>0.02</v>
      </c>
    </row>
    <row r="38" spans="3:51" x14ac:dyDescent="0.2">
      <c r="C38" s="2" t="s">
        <v>27</v>
      </c>
      <c r="H38" s="11">
        <f>H22/H20</f>
        <v>0.85106382978723416</v>
      </c>
      <c r="I38" s="11">
        <f t="shared" ref="I38:L38" si="73">I22/I6</f>
        <v>0.28000000000000003</v>
      </c>
      <c r="J38" s="11">
        <f t="shared" si="73"/>
        <v>0.28000000000000003</v>
      </c>
      <c r="K38" s="11">
        <f t="shared" si="73"/>
        <v>0.28000000000000003</v>
      </c>
      <c r="L38" s="44">
        <f t="shared" si="73"/>
        <v>0.28000000000000003</v>
      </c>
      <c r="M38" s="54">
        <v>0.01</v>
      </c>
      <c r="N38" s="27">
        <f>M38</f>
        <v>0.01</v>
      </c>
      <c r="O38" s="27">
        <f t="shared" ref="O38:AY38" si="74">N38</f>
        <v>0.01</v>
      </c>
      <c r="P38" s="27">
        <f t="shared" si="74"/>
        <v>0.01</v>
      </c>
      <c r="Q38" s="27">
        <f t="shared" si="74"/>
        <v>0.01</v>
      </c>
      <c r="R38" s="27">
        <f t="shared" si="74"/>
        <v>0.01</v>
      </c>
      <c r="S38" s="27">
        <f t="shared" si="74"/>
        <v>0.01</v>
      </c>
      <c r="T38" s="27">
        <f t="shared" si="74"/>
        <v>0.01</v>
      </c>
      <c r="U38" s="27">
        <f t="shared" si="74"/>
        <v>0.01</v>
      </c>
      <c r="V38" s="27">
        <f t="shared" si="74"/>
        <v>0.01</v>
      </c>
      <c r="W38" s="27">
        <f t="shared" si="74"/>
        <v>0.01</v>
      </c>
      <c r="X38" s="27">
        <f t="shared" si="74"/>
        <v>0.01</v>
      </c>
      <c r="Y38" s="27">
        <f t="shared" si="74"/>
        <v>0.01</v>
      </c>
      <c r="Z38" s="27">
        <f t="shared" si="74"/>
        <v>0.01</v>
      </c>
      <c r="AA38" s="27">
        <f t="shared" si="74"/>
        <v>0.01</v>
      </c>
      <c r="AB38" s="27">
        <f t="shared" si="74"/>
        <v>0.01</v>
      </c>
      <c r="AC38" s="27">
        <f t="shared" si="74"/>
        <v>0.01</v>
      </c>
      <c r="AD38" s="27">
        <f t="shared" si="74"/>
        <v>0.01</v>
      </c>
      <c r="AE38" s="27">
        <f t="shared" si="74"/>
        <v>0.01</v>
      </c>
      <c r="AF38" s="27">
        <f t="shared" si="74"/>
        <v>0.01</v>
      </c>
      <c r="AG38" s="27">
        <f t="shared" si="74"/>
        <v>0.01</v>
      </c>
      <c r="AH38" s="27">
        <f t="shared" si="74"/>
        <v>0.01</v>
      </c>
      <c r="AI38" s="27">
        <f t="shared" si="74"/>
        <v>0.01</v>
      </c>
      <c r="AJ38" s="27">
        <f t="shared" si="74"/>
        <v>0.01</v>
      </c>
      <c r="AK38" s="27">
        <f t="shared" si="74"/>
        <v>0.01</v>
      </c>
      <c r="AL38" s="27">
        <f t="shared" si="74"/>
        <v>0.01</v>
      </c>
      <c r="AM38" s="27">
        <f t="shared" si="74"/>
        <v>0.01</v>
      </c>
      <c r="AN38" s="27">
        <f t="shared" si="74"/>
        <v>0.01</v>
      </c>
      <c r="AO38" s="27">
        <f t="shared" si="74"/>
        <v>0.01</v>
      </c>
      <c r="AP38" s="27">
        <f t="shared" si="74"/>
        <v>0.01</v>
      </c>
      <c r="AQ38" s="27">
        <f t="shared" si="74"/>
        <v>0.01</v>
      </c>
      <c r="AR38" s="27">
        <f t="shared" si="74"/>
        <v>0.01</v>
      </c>
      <c r="AS38" s="27">
        <f t="shared" si="74"/>
        <v>0.01</v>
      </c>
      <c r="AT38" s="27">
        <f t="shared" si="74"/>
        <v>0.01</v>
      </c>
      <c r="AU38" s="27">
        <f t="shared" si="74"/>
        <v>0.01</v>
      </c>
      <c r="AV38" s="27">
        <f t="shared" si="74"/>
        <v>0.01</v>
      </c>
      <c r="AW38" s="27">
        <f t="shared" si="74"/>
        <v>0.01</v>
      </c>
      <c r="AX38" s="27">
        <f t="shared" si="74"/>
        <v>0.01</v>
      </c>
      <c r="AY38" s="27">
        <f t="shared" si="74"/>
        <v>0.01</v>
      </c>
    </row>
    <row r="39" spans="3:51" x14ac:dyDescent="0.2">
      <c r="C39" s="2" t="s">
        <v>26</v>
      </c>
      <c r="H39" s="28">
        <v>0.01</v>
      </c>
      <c r="I39" s="28">
        <v>0.01</v>
      </c>
      <c r="J39" s="28">
        <v>0.01</v>
      </c>
      <c r="K39" s="28">
        <v>0.01</v>
      </c>
      <c r="L39" s="28">
        <v>0.01</v>
      </c>
      <c r="M39" s="54">
        <v>0.01</v>
      </c>
      <c r="N39" s="27">
        <f>M39</f>
        <v>0.01</v>
      </c>
      <c r="O39" s="27">
        <f t="shared" ref="O39:AY39" si="75">N39</f>
        <v>0.01</v>
      </c>
      <c r="P39" s="27">
        <f t="shared" si="75"/>
        <v>0.01</v>
      </c>
      <c r="Q39" s="27">
        <f t="shared" si="75"/>
        <v>0.01</v>
      </c>
      <c r="R39" s="27">
        <f t="shared" si="75"/>
        <v>0.01</v>
      </c>
      <c r="S39" s="27">
        <f t="shared" si="75"/>
        <v>0.01</v>
      </c>
      <c r="T39" s="27">
        <f t="shared" si="75"/>
        <v>0.01</v>
      </c>
      <c r="U39" s="27">
        <f t="shared" si="75"/>
        <v>0.01</v>
      </c>
      <c r="V39" s="27">
        <f t="shared" si="75"/>
        <v>0.01</v>
      </c>
      <c r="W39" s="27">
        <f t="shared" si="75"/>
        <v>0.01</v>
      </c>
      <c r="X39" s="27">
        <f t="shared" si="75"/>
        <v>0.01</v>
      </c>
      <c r="Y39" s="27">
        <f t="shared" si="75"/>
        <v>0.01</v>
      </c>
      <c r="Z39" s="27">
        <f t="shared" si="75"/>
        <v>0.01</v>
      </c>
      <c r="AA39" s="27">
        <f t="shared" si="75"/>
        <v>0.01</v>
      </c>
      <c r="AB39" s="27">
        <f t="shared" si="75"/>
        <v>0.01</v>
      </c>
      <c r="AC39" s="27">
        <f t="shared" si="75"/>
        <v>0.01</v>
      </c>
      <c r="AD39" s="27">
        <f t="shared" si="75"/>
        <v>0.01</v>
      </c>
      <c r="AE39" s="27">
        <f t="shared" si="75"/>
        <v>0.01</v>
      </c>
      <c r="AF39" s="27">
        <f t="shared" si="75"/>
        <v>0.01</v>
      </c>
      <c r="AG39" s="27">
        <f t="shared" si="75"/>
        <v>0.01</v>
      </c>
      <c r="AH39" s="27">
        <f t="shared" si="75"/>
        <v>0.01</v>
      </c>
      <c r="AI39" s="27">
        <f t="shared" si="75"/>
        <v>0.01</v>
      </c>
      <c r="AJ39" s="27">
        <f t="shared" si="75"/>
        <v>0.01</v>
      </c>
      <c r="AK39" s="27">
        <f t="shared" si="75"/>
        <v>0.01</v>
      </c>
      <c r="AL39" s="27">
        <f t="shared" si="75"/>
        <v>0.01</v>
      </c>
      <c r="AM39" s="27">
        <f t="shared" si="75"/>
        <v>0.01</v>
      </c>
      <c r="AN39" s="27">
        <f t="shared" si="75"/>
        <v>0.01</v>
      </c>
      <c r="AO39" s="27">
        <f t="shared" si="75"/>
        <v>0.01</v>
      </c>
      <c r="AP39" s="27">
        <f t="shared" si="75"/>
        <v>0.01</v>
      </c>
      <c r="AQ39" s="27">
        <f t="shared" si="75"/>
        <v>0.01</v>
      </c>
      <c r="AR39" s="27">
        <f t="shared" si="75"/>
        <v>0.01</v>
      </c>
      <c r="AS39" s="27">
        <f t="shared" si="75"/>
        <v>0.01</v>
      </c>
      <c r="AT39" s="27">
        <f t="shared" si="75"/>
        <v>0.01</v>
      </c>
      <c r="AU39" s="27">
        <f t="shared" si="75"/>
        <v>0.01</v>
      </c>
      <c r="AV39" s="27">
        <f t="shared" si="75"/>
        <v>0.01</v>
      </c>
      <c r="AW39" s="27">
        <f t="shared" si="75"/>
        <v>0.01</v>
      </c>
      <c r="AX39" s="27">
        <f t="shared" si="75"/>
        <v>0.01</v>
      </c>
      <c r="AY39" s="27">
        <f t="shared" si="75"/>
        <v>0.01</v>
      </c>
    </row>
  </sheetData>
  <printOptions gridLines="1"/>
  <pageMargins left="0.7" right="0.7" top="0.75" bottom="0.75" header="0.3" footer="0.3"/>
  <pageSetup scale="84" orientation="landscape" horizontalDpi="4294967293" verticalDpi="4294967293" r:id="rId1"/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putsShee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333375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boutSheet">
                <anchor moveWithCells="1" sizeWithCells="1">
                  <from>
                    <xdr:col>2</xdr:col>
                    <xdr:colOff>342900</xdr:colOff>
                    <xdr:row>0</xdr:row>
                    <xdr:rowOff>0</xdr:rowOff>
                  </from>
                  <to>
                    <xdr:col>4</xdr:col>
                    <xdr:colOff>314325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About</vt:lpstr>
      <vt:lpstr>Inputs</vt:lpstr>
      <vt:lpstr>Model</vt:lpstr>
      <vt:lpstr>About!Print_Area</vt:lpstr>
      <vt:lpstr>Inputs!Print_Area</vt:lpstr>
      <vt:lpstr>Model!Print_Area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</dc:creator>
  <cp:lastModifiedBy>Minsoo Lee</cp:lastModifiedBy>
  <cp:lastPrinted>2023-12-09T08:04:57Z</cp:lastPrinted>
  <dcterms:created xsi:type="dcterms:W3CDTF">2016-11-23T15:02:51Z</dcterms:created>
  <dcterms:modified xsi:type="dcterms:W3CDTF">2023-12-09T08:08:44Z</dcterms:modified>
</cp:coreProperties>
</file>